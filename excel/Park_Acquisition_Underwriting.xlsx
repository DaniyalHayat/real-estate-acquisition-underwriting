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7eed1d2eab4f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7f7158cd2ed439f"/>
    <x:sheet xmlns:r="http://schemas.openxmlformats.org/officeDocument/2006/relationships" name="Assumptions" sheetId="2" r:id="R283c49f7899c454d"/>
    <x:sheet xmlns:r="http://schemas.openxmlformats.org/officeDocument/2006/relationships" name="Transaction" sheetId="3" r:id="Re8c30bd42fbb4328"/>
    <x:sheet xmlns:r="http://schemas.openxmlformats.org/officeDocument/2006/relationships" name="Operating" sheetId="4" r:id="R66635e4a93564a82"/>
    <x:sheet xmlns:r="http://schemas.openxmlformats.org/officeDocument/2006/relationships" name="Debt" sheetId="5" r:id="R4370dea186954d83"/>
    <x:sheet xmlns:r="http://schemas.openxmlformats.org/officeDocument/2006/relationships" name="Statements" sheetId="6" r:id="R46496d2dde1647b1"/>
    <x:sheet xmlns:r="http://schemas.openxmlformats.org/officeDocument/2006/relationships" name="Valuation" sheetId="7" r:id="R83368f52ab834812"/>
    <x:sheet xmlns:r="http://schemas.openxmlformats.org/officeDocument/2006/relationships" name="Property NAV" sheetId="8" r:id="R9dbcbc4858024c82"/>
    <x:sheet xmlns:r="http://schemas.openxmlformats.org/officeDocument/2006/relationships" name="Insurance" sheetId="9" r:id="R41bbbf8a097543da"/>
    <x:sheet xmlns:r="http://schemas.openxmlformats.org/officeDocument/2006/relationships" name="Comps" sheetId="10" r:id="R00c938bdab3148a5"/>
    <x:sheet xmlns:r="http://schemas.openxmlformats.org/officeDocument/2006/relationships" name="Precedents" sheetId="11" r:id="R3a6cec39c91740de"/>
    <x:sheet xmlns:r="http://schemas.openxmlformats.org/officeDocument/2006/relationships" name="Historical" sheetId="12" r:id="Rb6f97b91539f41d9"/>
    <x:sheet xmlns:r="http://schemas.openxmlformats.org/officeDocument/2006/relationships" name="Checks" sheetId="13" r:id="R2ff509c9db6a4e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.0;(#,##0.0);&quot;-&quot;"/>
    <x:numFmt numFmtId="201" formatCode="0.0%;(0.0%);&quot;-&quot;"/>
    <x:numFmt numFmtId="202" formatCode="0.00&quot;x&quot;"/>
    <x:numFmt numFmtId="203" formatCode=";;;"/>
    <x:numFmt numFmtId="204" formatCode="@"/>
    <x:numFmt numFmtId="205" formatCode="0.00;(0.00);0.00"/>
    <x:numFmt numFmtId="206" formatCode="0"/>
    <x:numFmt numFmtId="207" formatCode="#,##0"/>
    <x:numFmt numFmtId="208" formatCode="$0.00"/>
  </x:numFmts>
  <x:fonts count="16">
    <x:font>
      <x:sz val="11"/>
      <x:name val="Carlito"/>
    </x:font>
    <x:font>
      <x:sz val="11"/>
      <x:color rgb="FF23364D"/>
      <x:name val="Arial"/>
    </x:font>
    <x:font>
      <x:b/>
      <x:sz val="16"/>
      <x:color rgb="FF23364D"/>
      <x:name val="Arial"/>
    </x:font>
    <x:font>
      <x:b/>
      <x:sz val="11"/>
      <x:color rgb="FF287245"/>
      <x:name val="Arial"/>
    </x:font>
    <x:font>
      <x:sz val="11"/>
      <x:color rgb="FF287245"/>
      <x:name val="Arial"/>
    </x:font>
    <x:font>
      <x:sz val="11"/>
      <x:color rgb="FF235BB0"/>
      <x:name val="Arial"/>
    </x:font>
    <x:font>
      <x:b/>
      <x:sz val="11"/>
      <x:color rgb="FFFFFFFF"/>
      <x:name val="Arial"/>
    </x:font>
    <x:font>
      <x:i/>
      <x:sz val="11"/>
      <x:color rgb="FF235BB0"/>
      <x:name val="Arial"/>
    </x:font>
    <x:font>
      <x:sz val="10"/>
      <x:color rgb="FF576575"/>
      <x:name val="Arial"/>
    </x:font>
    <x:font>
      <x:b/>
      <x:sz val="11"/>
      <x:color rgb="FF111111"/>
      <x:name val="Arial"/>
    </x:font>
    <x:font>
      <x:b/>
      <x:i/>
      <x:sz val="11"/>
      <x:color rgb="FF111111"/>
      <x:name val="Arial"/>
    </x:font>
    <x:font>
      <x:sz val="11"/>
      <x:color rgb="FF111111"/>
      <x:name val="Arial"/>
    </x:font>
    <x:font>
      <x:i/>
      <x:sz val="11"/>
      <x:color rgb="FF287245"/>
      <x:name val="Arial"/>
    </x:font>
    <x:font>
      <x:i/>
      <x:sz val="11"/>
      <x:color rgb="FF111111"/>
      <x:name val="Arial"/>
    </x:font>
    <x:font>
      <x:i/>
      <x:sz val="11"/>
      <x:color rgb="FF23364D"/>
      <x:name val="Arial"/>
    </x:font>
    <x:font>
      <x:b/>
      <x:sz val="11"/>
      <x:color rgb="FF23364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364D"/>
      </x:patternFill>
    </x:fill>
    <x:fill>
      <x:patternFill patternType="solid">
        <x:fgColor rgb="FFFFF3D6"/>
      </x:patternFill>
    </x:fill>
    <x:fill>
      <x:patternFill patternType="solid">
        <x:fgColor rgb="FFFFFFFF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23364D"/>
      </x:bottom>
      <x:diagonal/>
    </x:border>
    <x:border>
      <x:left style="dotted">
        <x:color rgb="FF287245"/>
      </x:left>
      <x:right style="dotted">
        <x:color rgb="FF287245"/>
      </x:right>
      <x:top style="dotted">
        <x:color rgb="FF287245"/>
      </x:top>
      <x:bottom style="dotted">
        <x:color rgb="FF287245"/>
      </x:bottom>
      <x:diagonal/>
    </x:border>
  </x:borders>
  <x:cellStyleXfs count="1">
    <x:xf numFmtId="0" fontId="0" fillId="0" borderId="0"/>
  </x:cellStyleXfs>
  <x:cellXfs count="5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200" fontId="6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1" fontId="7" fillId="3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200" fontId="9" fillId="2" borderId="0" xfId="0" applyNumberFormat="1" applyFont="1" applyFill="1" applyBorder="1" applyAlignment="1">
      <x:alignment vertical="center"/>
    </x:xf>
    <x:xf numFmtId="201" fontId="9" fillId="2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1" fontId="10" fillId="2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11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12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201" fontId="11" fillId="0" borderId="0" xfId="0" applyNumberFormat="1" applyFont="1" applyFill="1" applyBorder="1" applyAlignment="1">
      <x:alignment vertical="center"/>
    </x:xf>
    <x:xf numFmtId="201" fontId="13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4" fillId="0" borderId="0" xfId="0" applyNumberFormat="1" applyFont="1" applyFill="1" applyBorder="1" applyAlignment="1">
      <x:alignment vertical="center"/>
    </x:xf>
    <x:xf numFmtId="203" fontId="1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2" fontId="1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5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0" fontId="5" fillId="2" borderId="0" xfId="0" applyNumberFormat="1" applyFont="1" applyFill="1" applyBorder="1" applyAlignment="1">
      <x:alignment vertical="center"/>
    </x:xf>
    <x:xf numFmtId="206" fontId="6" fillId="2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6" fontId="5" fillId="0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202" fontId="4" fillId="4" borderId="0" xfId="0" applyNumberFormat="1" applyFont="1" applyFill="1" applyBorder="1" applyAlignment="1">
      <x:alignment vertical="center"/>
    </x:xf>
    <x:xf numFmtId="207" fontId="5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7" fontId="11" fillId="0" borderId="0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8" fontId="4" fillId="0" borderId="0" xfId="0" applyNumberFormat="1" applyFont="1" applyFill="1" applyBorder="1" applyAlignment="1">
      <x:alignment vertical="center"/>
    </x:xf>
    <x:xf numFmtId="208" fontId="5" fillId="0" borderId="0" xfId="0" applyNumberFormat="1" applyFont="1" applyFill="1" applyBorder="1" applyAlignment="1">
      <x:alignment vertical="center"/>
    </x:xf>
    <x:xf numFmtId="208" fontId="1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A61C1C"/>
      </x:font>
      <x:fill>
        <x:patternFill patternType="solid">
          <x:bgColor rgb="FFF7D8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227e07ac0141af" /><Relationship Type="http://schemas.openxmlformats.org/officeDocument/2006/relationships/theme" Target="/xl/theme/theme1.xml" Id="Rca784e45149047b9" /><Relationship Type="http://schemas.openxmlformats.org/officeDocument/2006/relationships/sharedStrings" Target="/xl/sharedStrings.xml" Id="R106538afb0a94f00" /><Relationship Type="http://schemas.openxmlformats.org/officeDocument/2006/relationships/worksheet" Target="/xl/worksheets/sheet1.xml" Id="R67f7158cd2ed439f" /><Relationship Type="http://schemas.openxmlformats.org/officeDocument/2006/relationships/worksheet" Target="/xl/worksheets/sheet2.xml" Id="R283c49f7899c454d" /><Relationship Type="http://schemas.openxmlformats.org/officeDocument/2006/relationships/worksheet" Target="/xl/worksheets/sheet3.xml" Id="Re8c30bd42fbb4328" /><Relationship Type="http://schemas.openxmlformats.org/officeDocument/2006/relationships/worksheet" Target="/xl/worksheets/sheet4.xml" Id="R66635e4a93564a82" /><Relationship Type="http://schemas.openxmlformats.org/officeDocument/2006/relationships/worksheet" Target="/xl/worksheets/sheet5.xml" Id="R4370dea186954d83" /><Relationship Type="http://schemas.openxmlformats.org/officeDocument/2006/relationships/worksheet" Target="/xl/worksheets/sheet6.xml" Id="R46496d2dde1647b1" /><Relationship Type="http://schemas.openxmlformats.org/officeDocument/2006/relationships/worksheet" Target="/xl/worksheets/sheet7.xml" Id="R83368f52ab834812" /><Relationship Type="http://schemas.openxmlformats.org/officeDocument/2006/relationships/worksheet" Target="/xl/worksheets/sheet8.xml" Id="R9dbcbc4858024c82" /><Relationship Type="http://schemas.openxmlformats.org/officeDocument/2006/relationships/worksheet" Target="/xl/worksheets/sheet9.xml" Id="R41bbbf8a097543da" /><Relationship Type="http://schemas.openxmlformats.org/officeDocument/2006/relationships/worksheet" Target="/xl/worksheets/sheet10.xml" Id="R00c938bdab3148a5" /><Relationship Type="http://schemas.openxmlformats.org/officeDocument/2006/relationships/worksheet" Target="/xl/worksheets/sheet11.xml" Id="R3a6cec39c91740de" /><Relationship Type="http://schemas.openxmlformats.org/officeDocument/2006/relationships/worksheet" Target="/xl/worksheets/sheet12.xml" Id="Rb6f97b91539f41d9" /><Relationship Type="http://schemas.openxmlformats.org/officeDocument/2006/relationships/worksheet" Target="/xl/worksheets/sheet13.xml" Id="R2ff509c9db6a4e7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7704bcd940b418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EBITDA and ending debt ($m)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EBITDA</c:v>
          </c:tx>
          <c:spPr>
            <a:ln xmlns:a="http://schemas.openxmlformats.org/drawingml/2006/main" w="19050">
              <a:solidFill>
                <a:srgbClr val="B1833E"/>
              </a:solidFill>
              <a:prstDash val="solid"/>
            </a:ln>
          </c:spPr>
          <c:marker>
            <c:symbol val="none"/>
          </c:marker>
          <c:cat>
            <c:strRef>
              <c:f>'Summary'!$K$8:$K$12</c:f>
              <c:strCache>
                <c:ptCount val="0"/>
              </c:strCache>
            </c:strRef>
          </c:cat>
          <c:val>
            <c:numRef>
              <c:f>'Summary'!$L$8:$L$12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Debt</c:v>
          </c:tx>
          <c:spPr>
            <a:ln xmlns:a="http://schemas.openxmlformats.org/drawingml/2006/main" w="19050">
              <a:solidFill>
                <a:srgbClr val="52738F"/>
              </a:solidFill>
              <a:prstDash val="solid"/>
            </a:ln>
          </c:spPr>
          <c:marker>
            <c:symbol val="none"/>
          </c:marker>
          <c:cat>
            <c:strRef>
              <c:f>'Summary'!$K$8:$K$12</c:f>
              <c:strCache>
                <c:ptCount val="0"/>
              </c:strCache>
            </c:strRef>
          </c:cat>
          <c:val>
            <c:numRef>
              <c:f>'Summary'!$M$8:$M$12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6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704bcd940b418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851c88ece8f40e0" /></Relationships>
</file>

<file path=xl/worksheets/sheet1.xml><?xml version="1.0" encoding="utf-8"?>
<x:worksheet xmlns:x="http://schemas.openxmlformats.org/spreadsheetml/2006/main">
  <x:sheetPr>
    <x:tabColor rgb="FF23364D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3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2" customHeight="1">
      <x:c r="A2" s="2"/>
      <x:c r="B2" s="2"/>
      <x:c r="C2" s="4" t="str">
        <x:v>Park Hotels | Acquisition underwriting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</x:row>
    <x:row r="3" ht="22" customHeight="1">
      <x:c r="A3" s="2"/>
      <x:c r="B3" s="2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</x:row>
    <x:row r="4" ht="22" customHeight="1">
      <x:c r="A4" s="2"/>
      <x:c r="B4" s="2"/>
      <x:c r="C4" s="2" t="str">
        <x:v>USD millions | FY2025 historical; 2026–2030 forecast</x:v>
      </x:c>
      <x:c r="D4" s="2"/>
      <x:c r="E4" s="2"/>
      <x:c r="F4" s="2"/>
      <x:c r="G4" s="2"/>
      <x:c r="H4" s="2"/>
      <x:c r="I4" s="2"/>
      <x:c r="J4" s="2"/>
      <x:c r="K4" s="2" t="str">
        <x:v>Case Selected:</x:v>
      </x:c>
      <x:c r="L4" s="8" t="str">
        <x:f>CHOOSE(Assumptions!$D$5,"Base","Upside","Downside")</x:f>
        <x:v>Base</x:v>
      </x:c>
      <x:c r="M4" s="2"/>
      <x:c r="N4" s="2"/>
      <x:c r="O4" s="2"/>
      <x:c r="P4" s="2"/>
      <x:c r="Q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2" customHeight="1">
      <x:c r="A6" s="2"/>
      <x:c r="B6" s="2"/>
      <x:c r="C6" s="13" t="str">
        <x:v>Selected-case results</x:v>
      </x:c>
      <x:c r="D6" s="14"/>
      <x:c r="E6" s="14"/>
      <x:c r="F6" s="14"/>
      <x:c r="G6" s="14"/>
      <x:c r="H6" s="14"/>
      <x:c r="I6" s="14"/>
      <x:c r="J6" s="2"/>
      <x:c r="K6" s="2"/>
      <x:c r="L6" s="2"/>
      <x:c r="M6" s="2"/>
      <x:c r="N6" s="2"/>
      <x:c r="O6" s="2"/>
      <x:c r="P6" s="2"/>
      <x:c r="Q6" s="2"/>
    </x:row>
    <x:row r="7" ht="22" customHeight="1">
      <x:c r="A7" s="2"/>
      <x:c r="B7" s="2"/>
      <x:c r="C7" s="2" t="str">
        <x:v>Entry enterprise value</x:v>
      </x:c>
      <x:c r="D7" s="3" t="n">
        <x:f>Transaction!D8</x:f>
        <x:v>6394.5</x:v>
      </x:c>
      <x:c r="E7" s="3"/>
      <x:c r="F7" s="3"/>
      <x:c r="G7" s="3"/>
      <x:c r="H7" s="3"/>
      <x:c r="I7" s="3"/>
      <x:c r="J7" s="2"/>
      <x:c r="K7" s="2" t="str">
        <x:v>Year</x:v>
      </x:c>
      <x:c r="L7" s="2" t="str">
        <x:v>EBITDA</x:v>
      </x:c>
      <x:c r="M7" s="2" t="str">
        <x:v>Debt</x:v>
      </x:c>
      <x:c r="N7" s="2"/>
      <x:c r="O7" s="2"/>
      <x:c r="P7" s="2"/>
      <x:c r="Q7" s="2"/>
    </x:row>
    <x:row r="8" ht="22" customHeight="1">
      <x:c r="A8" s="2"/>
      <x:c r="B8" s="2"/>
      <x:c r="C8" s="2" t="str">
        <x:v>Sponsor equity at closing</x:v>
      </x:c>
      <x:c r="D8" s="3" t="n">
        <x:f>Transaction!D15</x:f>
        <x:v>3881.8900000000003</x:v>
      </x:c>
      <x:c r="E8" s="3"/>
      <x:c r="F8" s="3"/>
      <x:c r="G8" s="3"/>
      <x:c r="H8" s="3"/>
      <x:c r="I8" s="3"/>
      <x:c r="J8" s="2"/>
      <x:c r="K8" s="2" t="str">
        <x:v>2026</x:v>
      </x:c>
      <x:c r="L8" s="2" t="n">
        <x:f>Operating!D15</x:f>
        <x:v>641.7958749999999</x:v>
      </x:c>
      <x:c r="M8" s="2" t="n">
        <x:f>Debt!D22</x:f>
        <x:v>2661.95714375</x:v>
      </x:c>
      <x:c r="N8" s="2"/>
      <x:c r="O8" s="2"/>
      <x:c r="P8" s="2"/>
      <x:c r="Q8" s="2"/>
    </x:row>
    <x:row r="9" ht="22" customHeight="1">
      <x:c r="A9" s="2"/>
      <x:c r="B9" s="2"/>
      <x:c r="C9" s="2" t="str">
        <x:v>Five-year sponsor IRR</x:v>
      </x:c>
      <x:c r="D9" s="38" t="n">
        <x:f>Valuation!D10</x:f>
        <x:v>0.12188078189640769</x:v>
      </x:c>
      <x:c r="E9" s="3"/>
      <x:c r="F9" s="3"/>
      <x:c r="G9" s="3"/>
      <x:c r="H9" s="3"/>
      <x:c r="I9" s="3"/>
      <x:c r="J9" s="2"/>
      <x:c r="K9" s="2" t="str">
        <x:v>2027</x:v>
      </x:c>
      <x:c r="L9" s="2" t="n">
        <x:f>Operating!E15</x:f>
        <x:v>691.5447318749999</x:v>
      </x:c>
      <x:c r="M9" s="2" t="n">
        <x:f>Debt!E22</x:f>
        <x:v>2499.568837126953</x:v>
      </x:c>
      <x:c r="N9" s="2"/>
      <x:c r="O9" s="2"/>
      <x:c r="P9" s="2"/>
      <x:c r="Q9" s="2"/>
    </x:row>
    <x:row r="10" ht="22" customHeight="1">
      <x:c r="A10" s="2"/>
      <x:c r="B10" s="2"/>
      <x:c r="C10" s="2" t="str">
        <x:v>Equity MOIC</x:v>
      </x:c>
      <x:c r="D10" s="42" t="n">
        <x:f>Valuation!D11</x:f>
        <x:v>1.7771886968620418</x:v>
      </x:c>
      <x:c r="E10" s="3"/>
      <x:c r="F10" s="3"/>
      <x:c r="G10" s="3"/>
      <x:c r="H10" s="3"/>
      <x:c r="I10" s="3"/>
      <x:c r="J10" s="2"/>
      <x:c r="K10" s="2" t="str">
        <x:v>2028</x:v>
      </x:c>
      <x:c r="L10" s="2" t="n">
        <x:f>Operating!F15</x:f>
        <x:v>738.7772126031249</x:v>
      </x:c>
      <x:c r="M10" s="2" t="n">
        <x:f>Debt!F22</x:f>
        <x:v>2254.366067796762</x:v>
      </x:c>
      <x:c r="N10" s="2"/>
      <x:c r="O10" s="2"/>
      <x:c r="P10" s="2"/>
      <x:c r="Q10" s="2"/>
    </x:row>
    <x:row r="11" ht="22" customHeight="1">
      <x:c r="A11" s="2"/>
      <x:c r="B11" s="2"/>
      <x:c r="C11" s="2" t="str">
        <x:v>DCF enterprise value</x:v>
      </x:c>
      <x:c r="D11" s="3" t="n">
        <x:f>Valuation!D16</x:f>
        <x:v>5917.38322698427</x:v>
      </x:c>
      <x:c r="E11" s="3"/>
      <x:c r="F11" s="3"/>
      <x:c r="G11" s="3"/>
      <x:c r="H11" s="3"/>
      <x:c r="I11" s="3"/>
      <x:c r="J11" s="2"/>
      <x:c r="K11" s="2" t="str">
        <x:v>2029</x:v>
      </x:c>
      <x:c r="L11" s="2" t="n">
        <x:f>Operating!G15</x:f>
        <x:v>771.5343154260937</x:v>
      </x:c>
      <x:c r="M11" s="2" t="n">
        <x:f>Debt!G22</x:f>
        <x:v>1950.5133350101153</x:v>
      </x:c>
      <x:c r="N11" s="2"/>
      <x:c r="O11" s="2"/>
      <x:c r="P11" s="2"/>
      <x:c r="Q11" s="2"/>
    </x:row>
    <x:row r="12" ht="22" customHeight="1">
      <x:c r="A12" s="2"/>
      <x:c r="B12" s="2"/>
      <x:c r="C12" s="2" t="str">
        <x:v>Minimum annual DSCR</x:v>
      </x:c>
      <x:c r="D12" s="42" t="n">
        <x:f>MIN(Debt!D24:H24)</x:f>
        <x:v>1.2714188519016105</x:v>
      </x:c>
      <x:c r="E12" s="3"/>
      <x:c r="F12" s="3"/>
      <x:c r="G12" s="3"/>
      <x:c r="H12" s="3"/>
      <x:c r="I12" s="3"/>
      <x:c r="J12" s="2"/>
      <x:c r="K12" s="2" t="str">
        <x:v>2030</x:v>
      </x:c>
      <x:c r="L12" s="2" t="n">
        <x:f>Operating!H15</x:f>
        <x:v>790.822673311746</x:v>
      </x:c>
      <x:c r="M12" s="2" t="n">
        <x:f>Debt!H22</x:f>
        <x:v>1609.3673632361838</x:v>
      </x:c>
      <x:c r="N12" s="2"/>
      <x:c r="O12" s="2"/>
      <x:c r="P12" s="2"/>
      <x:c r="Q12" s="2"/>
    </x:row>
    <x:row r="13" ht="22" customHeight="1">
      <x:c r="A13" s="2"/>
      <x:c r="B13" s="2"/>
      <x:c r="C13" s="2" t="str">
        <x:v>Peak debt / EBITDA</x:v>
      </x:c>
      <x:c r="D13" s="42" t="n">
        <x:f>MAX(Debt!D25:H25)</x:f>
        <x:v>4.147669449807543</x:v>
      </x:c>
      <x:c r="E13" s="3"/>
      <x:c r="F13" s="3"/>
      <x:c r="G13" s="3"/>
      <x:c r="H13" s="3"/>
      <x:c r="I13" s="3"/>
      <x:c r="J13" s="2"/>
      <x:c r="K13" s="2"/>
      <x:c r="L13" s="2"/>
      <x:c r="M13" s="2"/>
      <x:c r="N13" s="2"/>
      <x:c r="O13" s="2"/>
      <x:c r="P13" s="2"/>
      <x:c r="Q13" s="2"/>
    </x:row>
    <x:row r="14" ht="22" customHeight="1">
      <x:c r="A14" s="2"/>
      <x:c r="B14" s="2"/>
      <x:c r="C14" s="2" t="str">
        <x:v>Additional equity required</x:v>
      </x:c>
      <x:c r="D14" s="3" t="n">
        <x:f>SUM(Debt!D16:H16)</x:f>
        <x:v>0</x:v>
      </x:c>
      <x:c r="E14" s="3"/>
      <x:c r="F14" s="3"/>
      <x:c r="G14" s="3"/>
      <x:c r="H14" s="3"/>
      <x:c r="I14" s="3"/>
      <x:c r="J14" s="2"/>
      <x:c r="K14" s="2"/>
      <x:c r="L14" s="2"/>
      <x:c r="M14" s="2"/>
      <x:c r="N14" s="2"/>
      <x:c r="O14" s="2"/>
      <x:c r="P14" s="2"/>
      <x:c r="Q14" s="2"/>
    </x:row>
    <x:row r="15" ht="22" customHeight="1">
      <x:c r="A15" s="2"/>
      <x:c r="B15" s="2"/>
      <x:c r="C15" s="2" t="str">
        <x:v>Assumed sponsor IRR hurdle</x:v>
      </x:c>
      <x:c r="D15" s="38" t="n">
        <x:f>Assumptions!$D$26</x:f>
        <x:v>0.2</x:v>
      </x:c>
      <x:c r="E15" s="3"/>
      <x:c r="F15" s="3"/>
      <x:c r="G15" s="3"/>
      <x:c r="H15" s="3"/>
      <x:c r="I15" s="3"/>
      <x:c r="J15" s="2"/>
      <x:c r="K15" s="2"/>
      <x:c r="L15" s="2"/>
      <x:c r="M15" s="2"/>
      <x:c r="N15" s="2"/>
      <x:c r="O15" s="2"/>
      <x:c r="P15" s="2"/>
      <x:c r="Q15" s="2"/>
    </x:row>
    <x:row r="16" ht="22" customHeight="1">
      <x:c r="A16" s="2"/>
      <x:c r="B16" s="2"/>
      <x:c r="C16" s="2" t="str">
        <x:v>IRR less hurdle</x:v>
      </x:c>
      <x:c r="D16" s="38" t="n">
        <x:f>D9-D15</x:f>
        <x:v>-0.07811921810359232</x:v>
      </x:c>
      <x:c r="E16" s="3"/>
      <x:c r="F16" s="3"/>
      <x:c r="G16" s="3"/>
      <x:c r="H16" s="3"/>
      <x:c r="I16" s="3"/>
      <x:c r="J16" s="2"/>
      <x:c r="K16" s="2"/>
      <x:c r="L16" s="2"/>
      <x:c r="M16" s="2"/>
      <x:c r="N16" s="2"/>
      <x:c r="O16" s="2"/>
      <x:c r="P16" s="2"/>
      <x:c r="Q16" s="2"/>
    </x:row>
    <x:row r="17" ht="22" customHeight="1">
      <x:c r="A17" s="2"/>
      <x:c r="B17" s="2"/>
      <x:c r="C17" s="2"/>
      <x:c r="D17" s="3"/>
      <x:c r="E17" s="3"/>
      <x:c r="F17" s="3"/>
      <x:c r="G17" s="3"/>
      <x:c r="H17" s="3"/>
      <x:c r="I17" s="3"/>
      <x:c r="J17" s="2"/>
      <x:c r="K17" s="2"/>
      <x:c r="L17" s="2"/>
      <x:c r="M17" s="2"/>
      <x:c r="N17" s="2"/>
      <x:c r="O17" s="2"/>
      <x:c r="P17" s="2"/>
      <x:c r="Q17" s="2"/>
    </x:row>
    <x:row r="18" ht="22" customHeight="1">
      <x:c r="A18" s="2"/>
      <x:c r="B18" s="2"/>
      <x:c r="C18" s="2" t="str">
        <x:v>Decision at selected assumptions</x:v>
      </x:c>
      <x:c r="D18" s="43" t="str">
        <x:f>IF(AND(D9&gt;=D15,D12&gt;=Assumptions!$D$25,D13&lt;=Assumptions!$D$24),"ADVANCE TO DILIGENCE","REPRICE / RESTRUCTURE")</x:f>
        <x:v>REPRICE / RESTRUCTURE</x:v>
      </x:c>
      <x:c r="E18" s="43"/>
      <x:c r="F18" s="43"/>
      <x:c r="G18" s="43"/>
      <x:c r="H18" s="43"/>
      <x:c r="I18" s="43"/>
      <x:c r="J18" s="2"/>
      <x:c r="K18" s="2"/>
      <x:c r="L18" s="2"/>
      <x:c r="M18" s="2"/>
      <x:c r="N18" s="2"/>
      <x:c r="O18" s="2"/>
      <x:c r="P18" s="2"/>
      <x:c r="Q18" s="2"/>
    </x:row>
    <x:row r="19" ht="22" customHeight="1">
      <x:c r="A19" s="2"/>
      <x:c r="B19" s="2"/>
      <x:c r="C19" s="2"/>
      <x:c r="D19" s="3"/>
      <x:c r="E19" s="3"/>
      <x:c r="F19" s="3"/>
      <x:c r="G19" s="3"/>
      <x:c r="H19" s="3"/>
      <x:c r="I19" s="3"/>
      <x:c r="J19" s="2"/>
      <x:c r="K19" s="2"/>
      <x:c r="L19" s="2"/>
      <x:c r="M19" s="2"/>
      <x:c r="N19" s="2"/>
      <x:c r="O19" s="2"/>
      <x:c r="P19" s="2"/>
      <x:c r="Q19" s="2"/>
    </x:row>
    <x:row r="20" ht="22" customHeight="1">
      <x:c r="A20" s="2"/>
      <x:c r="B20" s="2"/>
      <x:c r="C20" s="2"/>
      <x:c r="D20" s="3"/>
      <x:c r="E20" s="3"/>
      <x:c r="F20" s="3"/>
      <x:c r="G20" s="3"/>
      <x:c r="H20" s="3"/>
      <x:c r="I20" s="3"/>
      <x:c r="J20" s="2"/>
      <x:c r="K20" s="2"/>
      <x:c r="L20" s="2"/>
      <x:c r="M20" s="2"/>
      <x:c r="N20" s="2"/>
      <x:c r="O20" s="2"/>
      <x:c r="P20" s="2"/>
      <x:c r="Q20" s="2"/>
    </x:row>
    <x:row r="21" ht="22" customHeight="1">
      <x:c r="A21" s="2"/>
      <x:c r="B21" s="2"/>
      <x:c r="C21" s="2"/>
      <x:c r="D21" s="3"/>
      <x:c r="E21" s="3"/>
      <x:c r="F21" s="3"/>
      <x:c r="G21" s="3"/>
      <x:c r="H21" s="3"/>
      <x:c r="I21" s="3"/>
      <x:c r="J21" s="2"/>
      <x:c r="K21" s="2"/>
      <x:c r="L21" s="2"/>
      <x:c r="M21" s="2"/>
      <x:c r="N21" s="2"/>
      <x:c r="O21" s="2"/>
      <x:c r="P21" s="2"/>
      <x:c r="Q21" s="2"/>
    </x:row>
    <x:row r="22" ht="22" customHeight="1">
      <x:c r="A22" s="2"/>
      <x:c r="B22" s="2"/>
      <x:c r="C22" s="13" t="str">
        <x:v>Five-year operating and credit profile</x:v>
      </x:c>
      <x:c r="D22" s="14"/>
      <x:c r="E22" s="14"/>
      <x:c r="F22" s="14"/>
      <x:c r="G22" s="14"/>
      <x:c r="H22" s="14"/>
      <x:c r="I22" s="3"/>
      <x:c r="J22" s="2"/>
      <x:c r="K22" s="2"/>
      <x:c r="L22" s="2"/>
      <x:c r="M22" s="2"/>
      <x:c r="N22" s="2"/>
      <x:c r="O22" s="2"/>
      <x:c r="P22" s="2"/>
      <x:c r="Q22" s="2"/>
    </x:row>
    <x:row r="23" ht="22" customHeight="1">
      <x:c r="A23" s="2"/>
      <x:c r="B23" s="2"/>
      <x:c r="C23" s="2"/>
      <x:c r="D23" s="47" t="n">
        <x:v>2026</x:v>
      </x:c>
      <x:c r="E23" s="47" t="n">
        <x:v>2027</x:v>
      </x:c>
      <x:c r="F23" s="47" t="n">
        <x:v>2028</x:v>
      </x:c>
      <x:c r="G23" s="47" t="n">
        <x:v>2029</x:v>
      </x:c>
      <x:c r="H23" s="47" t="n">
        <x:v>2030</x:v>
      </x:c>
      <x:c r="I23" s="3"/>
      <x:c r="J23" s="2"/>
      <x:c r="K23" s="2"/>
      <x:c r="L23" s="2"/>
      <x:c r="M23" s="2"/>
      <x:c r="N23" s="2"/>
      <x:c r="O23" s="2"/>
      <x:c r="P23" s="2"/>
      <x:c r="Q23" s="2"/>
    </x:row>
    <x:row r="24" ht="22" customHeight="1">
      <x:c r="A24" s="2"/>
      <x:c r="B24" s="2"/>
      <x:c r="C24" s="2" t="str">
        <x:v>Revenue</x:v>
      </x:c>
      <x:c r="D24" s="3" t="n">
        <x:f>Operating!D11</x:f>
        <x:v>2619.575</x:v>
      </x:c>
      <x:c r="E24" s="3" t="n">
        <x:f>Operating!E11</x:f>
        <x:v>2711.9401249999996</x:v>
      </x:c>
      <x:c r="F24" s="3" t="n">
        <x:f>Operating!F11</x:f>
        <x:v>2787.8385381249996</x:v>
      </x:c>
      <x:c r="G24" s="3" t="n">
        <x:f>Operating!G11</x:f>
        <x:v>2857.5345015781245</x:v>
      </x:c>
      <x:c r="H24" s="3" t="n">
        <x:f>Operating!H11</x:f>
        <x:v>2928.9728641175775</x:v>
      </x:c>
      <x:c r="I24" s="3"/>
      <x:c r="J24" s="2"/>
      <x:c r="K24" s="2"/>
      <x:c r="L24" s="2"/>
      <x:c r="M24" s="2"/>
      <x:c r="N24" s="2"/>
      <x:c r="O24" s="2"/>
      <x:c r="P24" s="2"/>
      <x:c r="Q24" s="2"/>
    </x:row>
    <x:row r="25" ht="22" customHeight="1">
      <x:c r="A25" s="2"/>
      <x:c r="B25" s="2"/>
      <x:c r="C25" s="2" t="str">
        <x:v>EBITDA</x:v>
      </x:c>
      <x:c r="D25" s="3" t="n">
        <x:f>Operating!D15</x:f>
        <x:v>641.7958749999999</x:v>
      </x:c>
      <x:c r="E25" s="3" t="n">
        <x:f>Operating!E15</x:f>
        <x:v>691.5447318749999</x:v>
      </x:c>
      <x:c r="F25" s="3" t="n">
        <x:f>Operating!F15</x:f>
        <x:v>738.7772126031249</x:v>
      </x:c>
      <x:c r="G25" s="3" t="n">
        <x:f>Operating!G15</x:f>
        <x:v>771.5343154260937</x:v>
      </x:c>
      <x:c r="H25" s="3" t="n">
        <x:f>Operating!H15</x:f>
        <x:v>790.822673311746</x:v>
      </x:c>
      <x:c r="I25" s="3"/>
      <x:c r="J25" s="2"/>
      <x:c r="K25" s="2"/>
      <x:c r="L25" s="2"/>
      <x:c r="M25" s="2"/>
      <x:c r="N25" s="2"/>
      <x:c r="O25" s="2"/>
      <x:c r="P25" s="2"/>
      <x:c r="Q25" s="2"/>
    </x:row>
    <x:row r="26" ht="22" customHeight="1">
      <x:c r="A26" s="2"/>
      <x:c r="B26" s="2"/>
      <x:c r="C26" s="2" t="str">
        <x:v>Unlevered free cash flow</x:v>
      </x:c>
      <x:c r="D26" s="3" t="n">
        <x:f>Operating!D28</x:f>
        <x:v>263.44443333333334</x:v>
      </x:c>
      <x:c r="E26" s="3" t="n">
        <x:f>Operating!E28</x:f>
        <x:v>353.63735441666665</x:v>
      </x:c>
      <x:c r="F26" s="3" t="n">
        <x:f>Operating!F28</x:f>
        <x:v>426.8367873209635</x:v>
      </x:c>
      <x:c r="G26" s="3" t="n">
        <x:f>Operating!G28</x:f>
        <x:v>463.5022369190325</x:v>
      </x:c>
      <x:c r="H26" s="3" t="n">
        <x:f>Operating!H28</x:f>
        <x:v>476.4478265306789</x:v>
      </x:c>
      <x:c r="I26" s="3"/>
      <x:c r="J26" s="2"/>
      <x:c r="K26" s="2"/>
      <x:c r="L26" s="2"/>
      <x:c r="M26" s="2"/>
      <x:c r="N26" s="2"/>
      <x:c r="O26" s="2"/>
      <x:c r="P26" s="2"/>
      <x:c r="Q26" s="2"/>
    </x:row>
    <x:row r="27" ht="22" customHeight="1">
      <x:c r="A27" s="2"/>
      <x:c r="B27" s="2"/>
      <x:c r="C27" s="2" t="str">
        <x:v>DSCR</x:v>
      </x:c>
      <x:c r="D27" s="42" t="n">
        <x:f>Debt!D24</x:f>
        <x:v>1.2714188519016105</x:v>
      </x:c>
      <x:c r="E27" s="42" t="n">
        <x:f>Debt!E24</x:f>
        <x:v>1.66465039453611</x:v>
      </x:c>
      <x:c r="F27" s="42" t="n">
        <x:f>Debt!F24</x:f>
        <x:v>2.054237803542428</x:v>
      </x:c>
      <x:c r="G27" s="42" t="n">
        <x:f>Debt!G24</x:f>
        <x:v>2.381847350808266</x:v>
      </x:c>
      <x:c r="H27" s="42" t="n">
        <x:f>Debt!H24</x:f>
        <x:v>2.7056290645996337</x:v>
      </x:c>
      <x:c r="I27" s="3"/>
      <x:c r="J27" s="2"/>
      <x:c r="K27" s="2"/>
      <x:c r="L27" s="2"/>
      <x:c r="M27" s="2"/>
      <x:c r="N27" s="2"/>
      <x:c r="O27" s="2"/>
      <x:c r="P27" s="2"/>
      <x:c r="Q27" s="2"/>
    </x:row>
    <x:row r="28" ht="22" customHeight="1">
      <x:c r="A28" s="2"/>
      <x:c r="B28" s="2"/>
      <x:c r="C28" s="2" t="str">
        <x:v>Equity injections</x:v>
      </x:c>
      <x:c r="D28" s="3" t="n">
        <x:f>Debt!D16</x:f>
        <x:v>0</x:v>
      </x:c>
      <x:c r="E28" s="3" t="n">
        <x:f>Debt!E16</x:f>
        <x:v>0</x:v>
      </x:c>
      <x:c r="F28" s="3" t="n">
        <x:f>Debt!F16</x:f>
        <x:v>0</x:v>
      </x:c>
      <x:c r="G28" s="3" t="n">
        <x:f>Debt!G16</x:f>
        <x:v>0</x:v>
      </x:c>
      <x:c r="H28" s="3" t="n">
        <x:f>Debt!H16</x:f>
        <x:v>0</x:v>
      </x:c>
      <x:c r="I28" s="3"/>
      <x:c r="J28" s="2"/>
      <x:c r="K28" s="2"/>
      <x:c r="L28" s="2"/>
      <x:c r="M28" s="2"/>
      <x:c r="N28" s="2"/>
      <x:c r="O28" s="2"/>
      <x:c r="P28" s="2"/>
      <x:c r="Q28" s="2"/>
    </x:row>
    <x:row r="29" ht="22" customHeight="1">
      <x:c r="A29" s="2"/>
      <x:c r="B29" s="2"/>
      <x:c r="C29" s="2"/>
      <x:c r="D29" s="3"/>
      <x:c r="E29" s="3"/>
      <x:c r="F29" s="3"/>
      <x:c r="G29" s="3"/>
      <x:c r="H29" s="3"/>
      <x:c r="I29" s="3"/>
      <x:c r="J29" s="2"/>
      <x:c r="K29" s="2"/>
      <x:c r="L29" s="2"/>
      <x:c r="M29" s="2"/>
      <x:c r="N29" s="2"/>
      <x:c r="O29" s="2"/>
      <x:c r="P29" s="2"/>
      <x:c r="Q29" s="2"/>
    </x:row>
    <x:row r="30" ht="22" customHeight="1">
      <x:c r="A30" s="2"/>
      <x:c r="B30" s="2"/>
      <x:c r="C30" s="2"/>
      <x:c r="D30" s="3"/>
      <x:c r="E30" s="3"/>
      <x:c r="F30" s="3"/>
      <x:c r="G30" s="3"/>
      <x:c r="H30" s="3"/>
      <x:c r="I30" s="3"/>
      <x:c r="J30" s="2"/>
      <x:c r="K30" s="2"/>
      <x:c r="L30" s="2"/>
      <x:c r="M30" s="2"/>
      <x:c r="N30" s="2"/>
      <x:c r="O30" s="2"/>
      <x:c r="P30" s="2"/>
      <x:c r="Q30" s="2"/>
    </x:row>
    <x:row r="31" ht="22" customHeight="1">
      <x:c r="A31" s="2"/>
      <x:c r="B31" s="2"/>
      <x:c r="C31" s="19" t="str">
        <x:v>Historical case study: December 2025 pricing; FY2025 disclosures released through February 25, 2026.</x:v>
      </x:c>
      <x:c r="D31" s="20"/>
      <x:c r="E31" s="20"/>
      <x:c r="F31" s="20"/>
      <x:c r="G31" s="20"/>
      <x:c r="H31" s="20"/>
      <x:c r="I31" s="20"/>
      <x:c r="J31" s="19"/>
      <x:c r="K31" s="19"/>
      <x:c r="L31" s="19"/>
      <x:c r="M31" s="19"/>
      <x:c r="N31" s="2"/>
      <x:c r="O31" s="2"/>
      <x:c r="P31" s="2"/>
      <x:c r="Q31" s="2"/>
    </x:row>
    <x:row r="32" ht="22" customHeight="1">
      <x:c r="A32" s="2"/>
      <x:c r="B32" s="2"/>
      <x:c r="C32" s="2"/>
      <x:c r="D32" s="3"/>
      <x:c r="E32" s="3"/>
      <x:c r="F32" s="3"/>
      <x:c r="G32" s="3"/>
      <x:c r="H32" s="3"/>
      <x:c r="I32" s="3"/>
      <x:c r="J32" s="2"/>
      <x:c r="K32" s="2"/>
      <x:c r="L32" s="2"/>
      <x:c r="M32" s="2"/>
      <x:c r="N32" s="2"/>
      <x:c r="O32" s="2"/>
      <x:c r="P32" s="2"/>
      <x:c r="Q32" s="2"/>
    </x:row>
    <x:row r="33" ht="22" customHeight="1">
      <x:c r="A33" s="2"/>
      <x:c r="B33" s="2"/>
      <x:c r="C33" s="19" t="str">
        <x:v>Select a case on Assumptions. Entry and exit multiples are editable on Valuation for live sensitivity.</x:v>
      </x:c>
      <x:c r="D33" s="20"/>
      <x:c r="E33" s="20"/>
      <x:c r="F33" s="20"/>
      <x:c r="G33" s="20"/>
      <x:c r="H33" s="20"/>
      <x:c r="I33" s="20"/>
      <x:c r="J33" s="19"/>
      <x:c r="K33" s="19"/>
      <x:c r="L33" s="19"/>
      <x:c r="M33" s="19"/>
      <x:c r="N33" s="2"/>
      <x:c r="O33" s="2"/>
      <x:c r="P33" s="2"/>
      <x:c r="Q33" s="2"/>
    </x:row>
    <x:row r="34" ht="22" customHeight="1">
      <x:c r="A34" s="2"/>
      <x:c r="B34" s="2"/>
      <x:c r="C34" s="2"/>
      <x:c r="D34" s="3"/>
      <x:c r="E34" s="3"/>
      <x:c r="F34" s="3"/>
      <x:c r="G34" s="3"/>
      <x:c r="H34" s="3"/>
      <x:c r="I34" s="3"/>
      <x:c r="J34" s="2"/>
      <x:c r="K34" s="2"/>
      <x:c r="L34" s="2"/>
      <x:c r="M34" s="2"/>
      <x:c r="N34" s="2"/>
      <x:c r="O34" s="2"/>
      <x:c r="P34" s="2"/>
      <x:c r="Q34" s="2"/>
    </x:row>
    <x:row r="35" ht="22" customHeight="1">
      <x:c r="A35" s="2"/>
      <x:c r="B35" s="2"/>
      <x:c r="C35" s="19" t="str">
        <x:v>Illustrative corporate tax structure; forecasts and insurance terms are analyst assumptions.</x:v>
      </x:c>
      <x:c r="D35" s="20"/>
      <x:c r="E35" s="20"/>
      <x:c r="F35" s="20"/>
      <x:c r="G35" s="20"/>
      <x:c r="H35" s="20"/>
      <x:c r="I35" s="20"/>
      <x:c r="J35" s="19"/>
      <x:c r="K35" s="19"/>
      <x:c r="L35" s="19"/>
      <x:c r="M35" s="19"/>
      <x:c r="N35" s="2"/>
      <x:c r="O35" s="2"/>
      <x:c r="P35" s="2"/>
      <x:c r="Q35" s="2"/>
    </x:row>
    <x:row r="36" ht="22" customHeight="1">
      <x:c r="A36" s="2"/>
      <x:c r="B36" s="2"/>
      <x:c r="C36" s="2"/>
      <x:c r="D36" s="3"/>
      <x:c r="E36" s="3"/>
      <x:c r="F36" s="3"/>
      <x:c r="G36" s="3"/>
      <x:c r="H36" s="3"/>
      <x:c r="I36" s="3"/>
      <x:c r="J36" s="2"/>
      <x:c r="K36" s="2"/>
      <x:c r="L36" s="2"/>
      <x:c r="M36" s="2"/>
      <x:c r="N36" s="2"/>
      <x:c r="O36" s="2"/>
      <x:c r="P36" s="2"/>
      <x:c r="Q36" s="2"/>
    </x:row>
    <x:row r="37" ht="22" customHeight="1">
      <x:c r="A37" s="2"/>
      <x:c r="B37" s="2"/>
      <x:c r="C37" s="2"/>
      <x:c r="D37" s="3"/>
      <x:c r="E37" s="3"/>
      <x:c r="F37" s="3"/>
      <x:c r="G37" s="3"/>
      <x:c r="H37" s="3"/>
      <x:c r="I37" s="3"/>
      <x:c r="J37" s="2"/>
      <x:c r="K37" s="2"/>
      <x:c r="L37" s="2"/>
      <x:c r="M37" s="2"/>
      <x:c r="N37" s="2"/>
      <x:c r="O37" s="2"/>
      <x:c r="P37" s="2"/>
      <x:c r="Q37" s="2"/>
    </x:row>
    <x:row r="38" ht="22" customHeight="1">
      <x:c r="A38" s="2"/>
      <x:c r="B38" s="2"/>
      <x:c r="C38" s="2"/>
      <x:c r="D38" s="3"/>
      <x:c r="E38" s="3"/>
      <x:c r="F38" s="3"/>
      <x:c r="G38" s="3"/>
      <x:c r="H38" s="3"/>
      <x:c r="I38" s="3"/>
      <x:c r="J38" s="2"/>
      <x:c r="K38" s="2"/>
      <x:c r="L38" s="2"/>
      <x:c r="M38" s="2"/>
      <x:c r="N38" s="2"/>
      <x:c r="O38" s="2"/>
      <x:c r="P38" s="2"/>
      <x:c r="Q38" s="2"/>
    </x:row>
    <x:row r="39" ht="22" customHeight="1">
      <x:c r="A39" s="2"/>
      <x:c r="B39" s="2"/>
      <x:c r="C39" s="2"/>
      <x:c r="D39" s="3"/>
      <x:c r="E39" s="3"/>
      <x:c r="F39" s="3"/>
      <x:c r="G39" s="3"/>
      <x:c r="H39" s="3"/>
      <x:c r="I39" s="3"/>
      <x:c r="J39" s="2"/>
      <x:c r="K39" s="2"/>
      <x:c r="L39" s="2"/>
      <x:c r="M39" s="2"/>
      <x:c r="N39" s="2"/>
      <x:c r="O39" s="2"/>
      <x:c r="P39" s="2"/>
      <x:c r="Q39" s="2"/>
    </x:row>
    <x:row r="40" ht="22" customHeight="1">
      <x:c r="A40" s="2"/>
      <x:c r="B40" s="2"/>
      <x:c r="C40" s="2"/>
      <x:c r="D40" s="3"/>
      <x:c r="E40" s="3"/>
      <x:c r="F40" s="3"/>
      <x:c r="G40" s="3"/>
      <x:c r="H40" s="3"/>
      <x:c r="I40" s="3"/>
      <x:c r="J40" s="2"/>
      <x:c r="K40" s="2"/>
      <x:c r="L40" s="2"/>
      <x:c r="M40" s="2"/>
      <x:c r="N40" s="2"/>
      <x:c r="O40" s="2"/>
      <x:c r="P40" s="2"/>
      <x:c r="Q40" s="2"/>
    </x:row>
    <x:row r="41" ht="22" customHeight="1">
      <x:c r="A41" s="2"/>
      <x:c r="B41" s="2"/>
      <x:c r="C41" s="2"/>
      <x:c r="D41" s="3"/>
      <x:c r="E41" s="3"/>
      <x:c r="F41" s="3"/>
      <x:c r="G41" s="3"/>
      <x:c r="H41" s="3"/>
      <x:c r="I41" s="3"/>
      <x:c r="J41" s="2"/>
      <x:c r="K41" s="2"/>
      <x:c r="L41" s="2"/>
      <x:c r="M41" s="2"/>
      <x:c r="N41" s="2"/>
      <x:c r="O41" s="2"/>
      <x:c r="P41" s="2"/>
      <x:c r="Q41" s="2"/>
    </x:row>
    <x:row r="42" ht="22" customHeight="1">
      <x:c r="A42" s="2"/>
      <x:c r="B42" s="2"/>
      <x:c r="C42" s="2"/>
      <x:c r="D42" s="3"/>
      <x:c r="E42" s="3"/>
      <x:c r="F42" s="3"/>
      <x:c r="G42" s="3"/>
      <x:c r="H42" s="3"/>
      <x:c r="I42" s="3"/>
      <x:c r="J42" s="2"/>
      <x:c r="K42" s="2"/>
      <x:c r="L42" s="2"/>
      <x:c r="M42" s="2"/>
      <x:c r="N42" s="2"/>
      <x:c r="O42" s="2"/>
      <x:c r="P42" s="2"/>
      <x:c r="Q42" s="2"/>
    </x:row>
    <x:row r="43" ht="22" customHeight="1">
      <x:c r="A43" s="2"/>
      <x:c r="B43" s="2"/>
      <x:c r="C43" s="2"/>
      <x:c r="D43" s="3"/>
      <x:c r="E43" s="3"/>
      <x:c r="F43" s="3"/>
      <x:c r="G43" s="3"/>
      <x:c r="H43" s="3"/>
      <x:c r="I43" s="3"/>
      <x:c r="J43" s="2"/>
      <x:c r="K43" s="2"/>
      <x:c r="L43" s="2"/>
      <x:c r="M43" s="2"/>
      <x:c r="N43" s="2"/>
      <x:c r="O43" s="2"/>
      <x:c r="P43" s="2"/>
      <x:c r="Q43" s="2"/>
    </x:row>
    <x:row r="44" ht="22" customHeight="1">
      <x:c r="A44" s="2"/>
      <x:c r="B44" s="2"/>
      <x:c r="C44" s="2"/>
      <x:c r="D44" s="3"/>
      <x:c r="E44" s="3"/>
      <x:c r="F44" s="3"/>
      <x:c r="G44" s="3"/>
      <x:c r="H44" s="3"/>
      <x:c r="I44" s="3"/>
      <x:c r="J44" s="2"/>
      <x:c r="K44" s="2"/>
      <x:c r="L44" s="2"/>
      <x:c r="M44" s="2"/>
      <x:c r="N44" s="2"/>
      <x:c r="O44" s="2"/>
      <x:c r="P44" s="2"/>
      <x:c r="Q44" s="2"/>
    </x:row>
    <x:row r="45" ht="22" customHeight="1">
      <x:c r="A45" s="2"/>
      <x:c r="B45" s="2"/>
      <x:c r="C45" s="2"/>
      <x:c r="D45" s="3"/>
      <x:c r="E45" s="3"/>
      <x:c r="F45" s="3"/>
      <x:c r="G45" s="3"/>
      <x:c r="H45" s="3"/>
      <x:c r="I45" s="3"/>
      <x:c r="J45" s="2"/>
      <x:c r="K45" s="2"/>
      <x:c r="L45" s="2"/>
      <x:c r="M45" s="2"/>
      <x:c r="N45" s="2"/>
      <x:c r="O45" s="2"/>
      <x:c r="P45" s="2"/>
      <x:c r="Q45" s="2"/>
    </x:row>
    <x:row r="46" ht="22" customHeight="1">
      <x:c r="A46" s="2"/>
      <x:c r="B46" s="2"/>
      <x:c r="C46" s="2"/>
      <x:c r="D46" s="3"/>
      <x:c r="E46" s="3"/>
      <x:c r="F46" s="3"/>
      <x:c r="G46" s="3"/>
      <x:c r="H46" s="3"/>
      <x:c r="I46" s="3"/>
      <x:c r="J46" s="2"/>
      <x:c r="K46" s="2"/>
      <x:c r="L46" s="2"/>
      <x:c r="M46" s="2"/>
      <x:c r="N46" s="2"/>
      <x:c r="O46" s="2"/>
      <x:c r="P46" s="2"/>
      <x:c r="Q46" s="2"/>
    </x:row>
    <x:row r="47" ht="22" customHeight="1">
      <x:c r="A47" s="2"/>
      <x:c r="B47" s="2"/>
      <x:c r="C47" s="2"/>
      <x:c r="D47" s="3"/>
      <x:c r="E47" s="3"/>
      <x:c r="F47" s="3"/>
      <x:c r="G47" s="3"/>
      <x:c r="H47" s="3"/>
      <x:c r="I47" s="3"/>
      <x:c r="J47" s="2"/>
      <x:c r="K47" s="2"/>
      <x:c r="L47" s="2"/>
      <x:c r="M47" s="2"/>
      <x:c r="N47" s="2"/>
      <x:c r="O47" s="2"/>
      <x:c r="P47" s="2"/>
      <x:c r="Q47" s="2"/>
    </x:row>
    <x:row r="48" ht="22" customHeight="1">
      <x:c r="A48" s="2"/>
      <x:c r="B48" s="2"/>
      <x:c r="C48" s="2"/>
      <x:c r="D48" s="3"/>
      <x:c r="E48" s="3"/>
      <x:c r="F48" s="3"/>
      <x:c r="G48" s="3"/>
      <x:c r="H48" s="3"/>
      <x:c r="I48" s="3"/>
      <x:c r="J48" s="2"/>
      <x:c r="K48" s="2"/>
      <x:c r="L48" s="2"/>
      <x:c r="M48" s="2"/>
      <x:c r="N48" s="2"/>
      <x:c r="O48" s="2"/>
      <x:c r="P48" s="2"/>
      <x:c r="Q48" s="2"/>
    </x:row>
    <x:row r="49" ht="22" customHeight="1">
      <x:c r="A49" s="2"/>
      <x:c r="B49" s="2"/>
      <x:c r="C49" s="2"/>
      <x:c r="D49" s="3"/>
      <x:c r="E49" s="3"/>
      <x:c r="F49" s="3"/>
      <x:c r="G49" s="3"/>
      <x:c r="H49" s="3"/>
      <x:c r="I49" s="3"/>
      <x:c r="J49" s="2"/>
      <x:c r="K49" s="2"/>
      <x:c r="L49" s="2"/>
      <x:c r="M49" s="2"/>
      <x:c r="N49" s="2"/>
      <x:c r="O49" s="2"/>
      <x:c r="P49" s="2"/>
      <x:c r="Q49" s="2"/>
    </x:row>
    <x:row r="50" ht="22" customHeight="1">
      <x:c r="A50" s="2"/>
      <x:c r="B50" s="2"/>
      <x:c r="C50" s="2"/>
      <x:c r="D50" s="3"/>
      <x:c r="E50" s="3"/>
      <x:c r="F50" s="3"/>
      <x:c r="G50" s="3"/>
      <x:c r="H50" s="3"/>
      <x:c r="I50" s="3"/>
      <x:c r="J50" s="2"/>
      <x:c r="K50" s="2"/>
      <x:c r="L50" s="2"/>
      <x:c r="M50" s="2"/>
      <x:c r="N50" s="2"/>
      <x:c r="O50" s="2"/>
      <x:c r="P50" s="2"/>
      <x:c r="Q50" s="2"/>
    </x:row>
    <x:row r="51" ht="22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2"/>
      <x:c r="K51" s="2"/>
      <x:c r="L51" s="2"/>
      <x:c r="M51" s="2"/>
      <x:c r="N51" s="2"/>
      <x:c r="O51" s="2"/>
      <x:c r="P51" s="2"/>
      <x:c r="Q51" s="2"/>
    </x:row>
    <x:row r="52" ht="22" customHeight="1">
      <x:c r="A52" s="2"/>
      <x:c r="B52" s="2"/>
      <x:c r="C52" s="2"/>
      <x:c r="D52" s="3"/>
      <x:c r="E52" s="3"/>
      <x:c r="F52" s="3"/>
      <x:c r="G52" s="3"/>
      <x:c r="H52" s="3"/>
      <x:c r="I52" s="3"/>
      <x:c r="J52" s="2"/>
      <x:c r="K52" s="2"/>
      <x:c r="L52" s="2"/>
      <x:c r="M52" s="2"/>
      <x:c r="N52" s="2"/>
      <x:c r="O52" s="2"/>
      <x:c r="P52" s="2"/>
      <x:c r="Q52" s="2"/>
    </x:row>
    <x:row r="53" ht="22" customHeight="1">
      <x:c r="A53" s="2"/>
      <x:c r="B53" s="2"/>
      <x:c r="C53" s="2"/>
      <x:c r="D53" s="3"/>
      <x:c r="E53" s="3"/>
      <x:c r="F53" s="3"/>
      <x:c r="G53" s="3"/>
      <x:c r="H53" s="3"/>
      <x:c r="I53" s="3"/>
      <x:c r="J53" s="2"/>
      <x:c r="K53" s="2"/>
      <x:c r="L53" s="2"/>
      <x:c r="M53" s="2"/>
      <x:c r="N53" s="2"/>
      <x:c r="O53" s="2"/>
      <x:c r="P53" s="2"/>
      <x:c r="Q53" s="2"/>
    </x:row>
    <x:row r="54" ht="22" customHeight="1">
      <x:c r="A54" s="2"/>
      <x:c r="B54" s="2"/>
      <x:c r="C54" s="2"/>
      <x:c r="D54" s="3"/>
      <x:c r="E54" s="3"/>
      <x:c r="F54" s="3"/>
      <x:c r="G54" s="3"/>
      <x:c r="H54" s="3"/>
      <x:c r="I54" s="3"/>
      <x:c r="J54" s="2"/>
      <x:c r="K54" s="2"/>
      <x:c r="L54" s="2"/>
      <x:c r="M54" s="2"/>
      <x:c r="N54" s="2"/>
      <x:c r="O54" s="2"/>
      <x:c r="P54" s="2"/>
      <x:c r="Q54" s="2"/>
    </x:row>
    <x:row r="55" ht="22" customHeight="1">
      <x:c r="A55" s="2"/>
      <x:c r="B55" s="2"/>
      <x:c r="C55" s="2"/>
      <x:c r="D55" s="3"/>
      <x:c r="E55" s="3"/>
      <x:c r="F55" s="3"/>
      <x:c r="G55" s="3"/>
      <x:c r="H55" s="3"/>
      <x:c r="I55" s="3"/>
      <x:c r="J55" s="2"/>
      <x:c r="K55" s="2"/>
      <x:c r="L55" s="2"/>
      <x:c r="M55" s="2"/>
      <x:c r="N55" s="2"/>
      <x:c r="O55" s="2"/>
      <x:c r="P55" s="2"/>
      <x:c r="Q55" s="2"/>
    </x:row>
    <x:row r="56" ht="22" customHeight="1">
      <x:c r="A56" s="2"/>
      <x:c r="B56" s="2"/>
      <x:c r="C56" s="2"/>
      <x:c r="D56" s="3"/>
      <x:c r="E56" s="3"/>
      <x:c r="F56" s="3"/>
      <x:c r="G56" s="3"/>
      <x:c r="H56" s="3"/>
      <x:c r="I56" s="3"/>
      <x:c r="J56" s="2"/>
      <x:c r="K56" s="2"/>
      <x:c r="L56" s="2"/>
      <x:c r="M56" s="2"/>
      <x:c r="N56" s="2"/>
      <x:c r="O56" s="2"/>
      <x:c r="P56" s="2"/>
      <x:c r="Q56" s="2"/>
    </x:row>
    <x:row r="57" ht="22" customHeight="1">
      <x:c r="A57" s="2"/>
      <x:c r="B57" s="2"/>
      <x:c r="C57" s="2"/>
      <x:c r="D57" s="3"/>
      <x:c r="E57" s="3"/>
      <x:c r="F57" s="3"/>
      <x:c r="G57" s="3"/>
      <x:c r="H57" s="3"/>
      <x:c r="I57" s="3"/>
      <x:c r="J57" s="2"/>
      <x:c r="K57" s="2"/>
      <x:c r="L57" s="2"/>
      <x:c r="M57" s="2"/>
      <x:c r="N57" s="2"/>
      <x:c r="O57" s="2"/>
      <x:c r="P57" s="2"/>
      <x:c r="Q57" s="2"/>
    </x:row>
    <x:row r="58" ht="22" customHeight="1">
      <x:c r="A58" s="2"/>
      <x:c r="B58" s="2"/>
      <x:c r="C58" s="2"/>
      <x:c r="D58" s="3"/>
      <x:c r="E58" s="3"/>
      <x:c r="F58" s="3"/>
      <x:c r="G58" s="3"/>
      <x:c r="H58" s="3"/>
      <x:c r="I58" s="3"/>
      <x:c r="J58" s="2"/>
      <x:c r="K58" s="2"/>
      <x:c r="L58" s="2"/>
      <x:c r="M58" s="2"/>
      <x:c r="N58" s="2"/>
      <x:c r="O58" s="2"/>
      <x:c r="P58" s="2"/>
      <x:c r="Q58" s="2"/>
    </x:row>
    <x:row r="59" ht="22" customHeight="1">
      <x:c r="A59" s="2"/>
      <x:c r="B59" s="2"/>
      <x:c r="C59" s="2"/>
      <x:c r="D59" s="3"/>
      <x:c r="E59" s="3"/>
      <x:c r="F59" s="3"/>
      <x:c r="G59" s="3"/>
      <x:c r="H59" s="3"/>
      <x:c r="I59" s="3"/>
      <x:c r="J59" s="2"/>
      <x:c r="K59" s="2"/>
      <x:c r="L59" s="2"/>
      <x:c r="M59" s="2"/>
      <x:c r="N59" s="2"/>
      <x:c r="O59" s="2"/>
      <x:c r="P59" s="2"/>
      <x:c r="Q59" s="2"/>
    </x:row>
    <x:row r="60" ht="22" customHeight="1">
      <x:c r="A60" s="2"/>
      <x:c r="B60" s="2"/>
      <x:c r="C60" s="2"/>
      <x:c r="D60" s="3"/>
      <x:c r="E60" s="3"/>
      <x:c r="F60" s="3"/>
      <x:c r="G60" s="3"/>
      <x:c r="H60" s="3"/>
      <x:c r="I60" s="3"/>
      <x:c r="J60" s="2"/>
      <x:c r="K60" s="2"/>
      <x:c r="L60" s="2"/>
      <x:c r="M60" s="2"/>
      <x:c r="N60" s="2"/>
      <x:c r="O60" s="2"/>
      <x:c r="P60" s="2"/>
      <x:c r="Q60" s="2"/>
    </x:row>
    <x:row r="61" ht="22" customHeight="1">
      <x:c r="A61" s="2"/>
      <x:c r="B61" s="2"/>
      <x:c r="C61" s="2"/>
      <x:c r="D61" s="3"/>
      <x:c r="E61" s="3"/>
      <x:c r="F61" s="3"/>
      <x:c r="G61" s="3"/>
      <x:c r="H61" s="3"/>
      <x:c r="I61" s="3"/>
      <x:c r="J61" s="2"/>
      <x:c r="K61" s="2"/>
      <x:c r="L61" s="2"/>
      <x:c r="M61" s="2"/>
      <x:c r="N61" s="2"/>
      <x:c r="O61" s="2"/>
      <x:c r="P61" s="2"/>
      <x:c r="Q61" s="2"/>
    </x:row>
    <x:row r="62" ht="22" customHeight="1">
      <x:c r="A62" s="2"/>
      <x:c r="B62" s="2"/>
      <x:c r="C62" s="2"/>
      <x:c r="D62" s="3"/>
      <x:c r="E62" s="3"/>
      <x:c r="F62" s="3"/>
      <x:c r="G62" s="3"/>
      <x:c r="H62" s="3"/>
      <x:c r="I62" s="3"/>
      <x:c r="J62" s="2"/>
      <x:c r="K62" s="2"/>
      <x:c r="L62" s="2"/>
      <x:c r="M62" s="2"/>
      <x:c r="N62" s="2"/>
      <x:c r="O62" s="2"/>
      <x:c r="P62" s="2"/>
      <x:c r="Q62" s="2"/>
    </x:row>
    <x:row r="63" ht="22" customHeight="1">
      <x:c r="A63" s="2"/>
      <x:c r="B63" s="2"/>
      <x:c r="C63" s="2"/>
      <x:c r="D63" s="3"/>
      <x:c r="E63" s="3"/>
      <x:c r="F63" s="3"/>
      <x:c r="G63" s="3"/>
      <x:c r="H63" s="3"/>
      <x:c r="I63" s="3"/>
      <x:c r="J63" s="2"/>
      <x:c r="K63" s="2"/>
      <x:c r="L63" s="2"/>
      <x:c r="M63" s="2"/>
      <x:c r="N63" s="2"/>
      <x:c r="O63" s="2"/>
      <x:c r="P63" s="2"/>
      <x:c r="Q63" s="2"/>
    </x:row>
    <x:row r="64" ht="22" customHeight="1">
      <x:c r="A64" s="2"/>
      <x:c r="B64" s="2"/>
      <x:c r="C64" s="2"/>
      <x:c r="D64" s="3"/>
      <x:c r="E64" s="3"/>
      <x:c r="F64" s="3"/>
      <x:c r="G64" s="3"/>
      <x:c r="H64" s="3"/>
      <x:c r="I64" s="3"/>
      <x:c r="J64" s="2"/>
      <x:c r="K64" s="2"/>
      <x:c r="L64" s="2"/>
      <x:c r="M64" s="2"/>
      <x:c r="N64" s="2"/>
      <x:c r="O64" s="2"/>
      <x:c r="P64" s="2"/>
      <x:c r="Q64" s="2"/>
    </x:row>
    <x:row r="65" ht="22" customHeight="1">
      <x:c r="A65" s="2"/>
      <x:c r="B65" s="2"/>
      <x:c r="C65" s="2"/>
      <x:c r="D65" s="3"/>
      <x:c r="E65" s="3"/>
      <x:c r="F65" s="3"/>
      <x:c r="G65" s="3"/>
      <x:c r="H65" s="3"/>
      <x:c r="I65" s="3"/>
      <x:c r="J65" s="2"/>
      <x:c r="K65" s="2"/>
      <x:c r="L65" s="2"/>
      <x:c r="M65" s="2"/>
      <x:c r="N65" s="2"/>
      <x:c r="O65" s="2"/>
      <x:c r="P65" s="2"/>
      <x:c r="Q65" s="2"/>
    </x:row>
    <x:row r="66" ht="22" customHeight="1">
      <x:c r="A66" s="2"/>
      <x:c r="B66" s="2"/>
      <x:c r="C66" s="2"/>
      <x:c r="D66" s="3"/>
      <x:c r="E66" s="3"/>
      <x:c r="F66" s="3"/>
      <x:c r="G66" s="3"/>
      <x:c r="H66" s="3"/>
      <x:c r="I66" s="3"/>
      <x:c r="J66" s="2"/>
      <x:c r="K66" s="2"/>
      <x:c r="L66" s="2"/>
      <x:c r="M66" s="2"/>
      <x:c r="N66" s="2"/>
      <x:c r="O66" s="2"/>
      <x:c r="P66" s="2"/>
      <x:c r="Q66" s="2"/>
    </x:row>
    <x:row r="67" ht="22" customHeight="1">
      <x:c r="A67" s="2"/>
      <x:c r="B67" s="2"/>
      <x:c r="C67" s="2"/>
      <x:c r="D67" s="3"/>
      <x:c r="E67" s="3"/>
      <x:c r="F67" s="3"/>
      <x:c r="G67" s="3"/>
      <x:c r="H67" s="3"/>
      <x:c r="I67" s="3"/>
      <x:c r="J67" s="2"/>
      <x:c r="K67" s="2"/>
      <x:c r="L67" s="2"/>
      <x:c r="M67" s="2"/>
      <x:c r="N67" s="2"/>
      <x:c r="O67" s="2"/>
      <x:c r="P67" s="2"/>
      <x:c r="Q67" s="2"/>
    </x:row>
    <x:row r="68" ht="22" customHeight="1">
      <x:c r="A68" s="2"/>
      <x:c r="B68" s="2"/>
      <x:c r="C68" s="2"/>
      <x:c r="D68" s="3"/>
      <x:c r="E68" s="3"/>
      <x:c r="F68" s="3"/>
      <x:c r="G68" s="3"/>
      <x:c r="H68" s="3"/>
      <x:c r="I68" s="3"/>
      <x:c r="J68" s="2"/>
      <x:c r="K68" s="2"/>
      <x:c r="L68" s="2"/>
      <x:c r="M68" s="2"/>
      <x:c r="N68" s="2"/>
      <x:c r="O68" s="2"/>
      <x:c r="P68" s="2"/>
      <x:c r="Q68" s="2"/>
    </x:row>
    <x:row r="69" ht="22" customHeight="1">
      <x:c r="A69" s="2"/>
      <x:c r="B69" s="2"/>
      <x:c r="C69" s="2"/>
      <x:c r="D69" s="3"/>
      <x:c r="E69" s="3"/>
      <x:c r="F69" s="3"/>
      <x:c r="G69" s="3"/>
      <x:c r="H69" s="3"/>
      <x:c r="I69" s="3"/>
      <x:c r="J69" s="2"/>
      <x:c r="K69" s="2"/>
      <x:c r="L69" s="2"/>
      <x:c r="M69" s="2"/>
      <x:c r="N69" s="2"/>
      <x:c r="O69" s="2"/>
      <x:c r="P69" s="2"/>
      <x:c r="Q69" s="2"/>
    </x:row>
    <x:row r="70" ht="22" customHeight="1">
      <x:c r="A70" s="2"/>
      <x:c r="B70" s="2"/>
      <x:c r="C70" s="2"/>
      <x:c r="D70" s="3"/>
      <x:c r="E70" s="3"/>
      <x:c r="F70" s="3"/>
      <x:c r="G70" s="3"/>
      <x:c r="H70" s="3"/>
      <x:c r="I70" s="3"/>
      <x:c r="J70" s="2"/>
      <x:c r="K70" s="2"/>
      <x:c r="L70" s="2"/>
      <x:c r="M70" s="2"/>
      <x:c r="N70" s="2"/>
      <x:c r="O70" s="2"/>
      <x:c r="P70" s="2"/>
      <x:c r="Q70" s="2"/>
    </x:row>
    <x:row r="71" ht="22" customHeight="1">
      <x:c r="A71" s="2"/>
      <x:c r="B71" s="2"/>
      <x:c r="C71" s="2"/>
      <x:c r="D71" s="3"/>
      <x:c r="E71" s="3"/>
      <x:c r="F71" s="3"/>
      <x:c r="G71" s="3"/>
      <x:c r="H71" s="3"/>
      <x:c r="I71" s="3"/>
      <x:c r="J71" s="2"/>
      <x:c r="K71" s="2"/>
      <x:c r="L71" s="2"/>
      <x:c r="M71" s="2"/>
      <x:c r="N71" s="2"/>
      <x:c r="O71" s="2"/>
      <x:c r="P71" s="2"/>
      <x:c r="Q71" s="2"/>
    </x:row>
    <x:row r="72" ht="22" customHeight="1">
      <x:c r="A72" s="2"/>
      <x:c r="B72" s="2"/>
      <x:c r="C72" s="2"/>
      <x:c r="D72" s="3"/>
      <x:c r="E72" s="3"/>
      <x:c r="F72" s="3"/>
      <x:c r="G72" s="3"/>
      <x:c r="H72" s="3"/>
      <x:c r="I72" s="3"/>
      <x:c r="J72" s="2"/>
      <x:c r="K72" s="2"/>
      <x:c r="L72" s="2"/>
      <x:c r="M72" s="2"/>
      <x:c r="N72" s="2"/>
      <x:c r="O72" s="2"/>
      <x:c r="P72" s="2"/>
      <x:c r="Q72" s="2"/>
    </x:row>
    <x:row r="73" ht="22" customHeight="1">
      <x:c r="A73" s="2"/>
      <x:c r="B73" s="2"/>
      <x:c r="C73" s="2"/>
      <x:c r="D73" s="3"/>
      <x:c r="E73" s="3"/>
      <x:c r="F73" s="3"/>
      <x:c r="G73" s="3"/>
      <x:c r="H73" s="3"/>
      <x:c r="I73" s="3"/>
      <x:c r="J73" s="2"/>
      <x:c r="K73" s="2"/>
      <x:c r="L73" s="2"/>
      <x:c r="M73" s="2"/>
      <x:c r="N73" s="2"/>
      <x:c r="O73" s="2"/>
      <x:c r="P73" s="2"/>
      <x:c r="Q73" s="2"/>
    </x:row>
    <x:row r="74" ht="22" customHeight="1">
      <x:c r="A74" s="2"/>
      <x:c r="B74" s="2"/>
      <x:c r="C74" s="2"/>
      <x:c r="D74" s="3"/>
      <x:c r="E74" s="3"/>
      <x:c r="F74" s="3"/>
      <x:c r="G74" s="3"/>
      <x:c r="H74" s="3"/>
      <x:c r="I74" s="3"/>
      <x:c r="J74" s="2"/>
      <x:c r="K74" s="2"/>
      <x:c r="L74" s="2"/>
      <x:c r="M74" s="2"/>
      <x:c r="N74" s="2"/>
      <x:c r="O74" s="2"/>
      <x:c r="P74" s="2"/>
      <x:c r="Q74" s="2"/>
    </x:row>
    <x:row r="75" ht="22" customHeight="1">
      <x:c r="A75" s="2"/>
      <x:c r="B75" s="2"/>
      <x:c r="C75" s="2"/>
      <x:c r="D75" s="3"/>
      <x:c r="E75" s="3"/>
      <x:c r="F75" s="3"/>
      <x:c r="G75" s="3"/>
      <x:c r="H75" s="3"/>
      <x:c r="I75" s="3"/>
      <x:c r="J75" s="2"/>
      <x:c r="K75" s="2"/>
      <x:c r="L75" s="2"/>
      <x:c r="M75" s="2"/>
      <x:c r="N75" s="2"/>
      <x:c r="O75" s="2"/>
      <x:c r="P75" s="2"/>
      <x:c r="Q75" s="2"/>
    </x:row>
    <x:row r="76" ht="22" customHeight="1">
      <x:c r="A76" s="2"/>
      <x:c r="B76" s="2"/>
      <x:c r="C76" s="2"/>
      <x:c r="D76" s="3"/>
      <x:c r="E76" s="3"/>
      <x:c r="F76" s="3"/>
      <x:c r="G76" s="3"/>
      <x:c r="H76" s="3"/>
      <x:c r="I76" s="3"/>
      <x:c r="J76" s="2"/>
      <x:c r="K76" s="2"/>
      <x:c r="L76" s="2"/>
      <x:c r="M76" s="2"/>
      <x:c r="N76" s="2"/>
      <x:c r="O76" s="2"/>
      <x:c r="P76" s="2"/>
      <x:c r="Q76" s="2"/>
    </x:row>
    <x:row r="77" ht="22" customHeight="1">
      <x:c r="A77" s="2"/>
      <x:c r="B77" s="2"/>
      <x:c r="C77" s="2"/>
      <x:c r="D77" s="3"/>
      <x:c r="E77" s="3"/>
      <x:c r="F77" s="3"/>
      <x:c r="G77" s="3"/>
      <x:c r="H77" s="3"/>
      <x:c r="I77" s="3"/>
      <x:c r="J77" s="2"/>
      <x:c r="K77" s="2"/>
      <x:c r="L77" s="2"/>
      <x:c r="M77" s="2"/>
      <x:c r="N77" s="2"/>
      <x:c r="O77" s="2"/>
      <x:c r="P77" s="2"/>
      <x:c r="Q77" s="2"/>
    </x:row>
    <x:row r="78" ht="22" customHeight="1">
      <x:c r="A78" s="2"/>
      <x:c r="B78" s="2"/>
      <x:c r="C78" s="2"/>
      <x:c r="D78" s="3"/>
      <x:c r="E78" s="3"/>
      <x:c r="F78" s="3"/>
      <x:c r="G78" s="3"/>
      <x:c r="H78" s="3"/>
      <x:c r="I78" s="3"/>
      <x:c r="J78" s="2"/>
      <x:c r="K78" s="2"/>
      <x:c r="L78" s="2"/>
      <x:c r="M78" s="2"/>
      <x:c r="N78" s="2"/>
      <x:c r="O78" s="2"/>
      <x:c r="P78" s="2"/>
      <x:c r="Q78" s="2"/>
    </x:row>
    <x:row r="79" ht="22" customHeight="1">
      <x:c r="A79" s="2"/>
      <x:c r="B79" s="2"/>
      <x:c r="C79" s="2"/>
      <x:c r="D79" s="3"/>
      <x:c r="E79" s="3"/>
      <x:c r="F79" s="3"/>
      <x:c r="G79" s="3"/>
      <x:c r="H79" s="3"/>
      <x:c r="I79" s="3"/>
      <x:c r="J79" s="2"/>
      <x:c r="K79" s="2"/>
      <x:c r="L79" s="2"/>
      <x:c r="M79" s="2"/>
      <x:c r="N79" s="2"/>
      <x:c r="O79" s="2"/>
      <x:c r="P79" s="2"/>
      <x:c r="Q79" s="2"/>
    </x:row>
    <x:row r="80" ht="22" customHeight="1">
      <x:c r="A80" s="2"/>
      <x:c r="B80" s="2"/>
      <x:c r="C80" s="2"/>
      <x:c r="D80" s="3"/>
      <x:c r="E80" s="3"/>
      <x:c r="F80" s="3"/>
      <x:c r="G80" s="3"/>
      <x:c r="H80" s="3"/>
      <x:c r="I80" s="3"/>
      <x:c r="J80" s="2"/>
      <x:c r="K80" s="2"/>
      <x:c r="L80" s="2"/>
      <x:c r="M80" s="2"/>
      <x:c r="N80" s="2"/>
      <x:c r="O80" s="2"/>
      <x:c r="P80" s="2"/>
      <x:c r="Q80" s="2"/>
    </x:row>
    <x:row r="81" ht="22" customHeight="1">
      <x:c r="A81" s="2"/>
      <x:c r="B81" s="2"/>
      <x:c r="C81" s="2"/>
      <x:c r="D81" s="3"/>
      <x:c r="E81" s="3"/>
      <x:c r="F81" s="3"/>
      <x:c r="G81" s="3"/>
      <x:c r="H81" s="3"/>
      <x:c r="I81" s="3"/>
      <x:c r="J81" s="2"/>
      <x:c r="K81" s="2"/>
      <x:c r="L81" s="2"/>
      <x:c r="M81" s="2"/>
      <x:c r="N81" s="2"/>
      <x:c r="O81" s="2"/>
      <x:c r="P81" s="2"/>
      <x:c r="Q81" s="2"/>
    </x:row>
    <x:row r="82" ht="22" customHeight="1">
      <x:c r="A82" s="2"/>
      <x:c r="B82" s="2"/>
      <x:c r="C82" s="2"/>
      <x:c r="D82" s="3"/>
      <x:c r="E82" s="3"/>
      <x:c r="F82" s="3"/>
      <x:c r="G82" s="3"/>
      <x:c r="H82" s="3"/>
      <x:c r="I82" s="3"/>
      <x:c r="J82" s="2"/>
      <x:c r="K82" s="2"/>
      <x:c r="L82" s="2"/>
      <x:c r="M82" s="2"/>
      <x:c r="N82" s="2"/>
      <x:c r="O82" s="2"/>
      <x:c r="P82" s="2"/>
      <x:c r="Q82" s="2"/>
    </x:row>
    <x:row r="83" ht="22" customHeight="1">
      <x:c r="A83" s="2"/>
      <x:c r="B83" s="2"/>
      <x:c r="C83" s="2"/>
      <x:c r="D83" s="3"/>
      <x:c r="E83" s="3"/>
      <x:c r="F83" s="3"/>
      <x:c r="G83" s="3"/>
      <x:c r="H83" s="3"/>
      <x:c r="I83" s="3"/>
      <x:c r="J83" s="2"/>
      <x:c r="K83" s="2"/>
      <x:c r="L83" s="2"/>
      <x:c r="M83" s="2"/>
      <x:c r="N83" s="2"/>
      <x:c r="O83" s="2"/>
      <x:c r="P83" s="2"/>
      <x:c r="Q83" s="2"/>
    </x:row>
    <x:row r="84" ht="22" customHeight="1">
      <x:c r="A84" s="2"/>
      <x:c r="B84" s="2"/>
      <x:c r="C84" s="2"/>
      <x:c r="D84" s="3"/>
      <x:c r="E84" s="3"/>
      <x:c r="F84" s="3"/>
      <x:c r="G84" s="3"/>
      <x:c r="H84" s="3"/>
      <x:c r="I84" s="3"/>
      <x:c r="J84" s="2"/>
      <x:c r="K84" s="2"/>
      <x:c r="L84" s="2"/>
      <x:c r="M84" s="2"/>
      <x:c r="N84" s="2"/>
      <x:c r="O84" s="2"/>
      <x:c r="P84" s="2"/>
      <x:c r="Q84" s="2"/>
    </x:row>
    <x:row r="85" ht="22" customHeight="1">
      <x:c r="A85" s="2"/>
      <x:c r="B85" s="2"/>
      <x:c r="C85" s="2"/>
      <x:c r="D85" s="3"/>
      <x:c r="E85" s="3"/>
      <x:c r="F85" s="3"/>
      <x:c r="G85" s="3"/>
      <x:c r="H85" s="3"/>
      <x:c r="I85" s="3"/>
      <x:c r="J85" s="2"/>
      <x:c r="K85" s="2"/>
      <x:c r="L85" s="2"/>
      <x:c r="M85" s="2"/>
      <x:c r="N85" s="2"/>
      <x:c r="O85" s="2"/>
      <x:c r="P85" s="2"/>
      <x:c r="Q85" s="2"/>
    </x:row>
    <x:row r="86" ht="22" customHeight="1">
      <x:c r="A86" s="2"/>
      <x:c r="B86" s="2"/>
      <x:c r="C86" s="2"/>
      <x:c r="D86" s="3"/>
      <x:c r="E86" s="3"/>
      <x:c r="F86" s="3"/>
      <x:c r="G86" s="3"/>
      <x:c r="H86" s="3"/>
      <x:c r="I86" s="3"/>
      <x:c r="J86" s="2"/>
      <x:c r="K86" s="2"/>
      <x:c r="L86" s="2"/>
      <x:c r="M86" s="2"/>
      <x:c r="N86" s="2"/>
      <x:c r="O86" s="2"/>
      <x:c r="P86" s="2"/>
      <x:c r="Q86" s="2"/>
    </x:row>
    <x:row r="87" ht="22" customHeight="1">
      <x:c r="A87" s="2"/>
      <x:c r="B87" s="2"/>
      <x:c r="C87" s="2"/>
      <x:c r="D87" s="3"/>
      <x:c r="E87" s="3"/>
      <x:c r="F87" s="3"/>
      <x:c r="G87" s="3"/>
      <x:c r="H87" s="3"/>
      <x:c r="I87" s="3"/>
      <x:c r="J87" s="2"/>
      <x:c r="K87" s="2"/>
      <x:c r="L87" s="2"/>
      <x:c r="M87" s="2"/>
      <x:c r="N87" s="2"/>
      <x:c r="O87" s="2"/>
      <x:c r="P87" s="2"/>
      <x:c r="Q87" s="2"/>
    </x:row>
    <x:row r="88" ht="22" customHeight="1">
      <x:c r="A88" s="2"/>
      <x:c r="B88" s="2"/>
      <x:c r="C88" s="2"/>
      <x:c r="D88" s="3"/>
      <x:c r="E88" s="3"/>
      <x:c r="F88" s="3"/>
      <x:c r="G88" s="3"/>
      <x:c r="H88" s="3"/>
      <x:c r="I88" s="3"/>
      <x:c r="J88" s="2"/>
      <x:c r="K88" s="2"/>
      <x:c r="L88" s="2"/>
      <x:c r="M88" s="2"/>
      <x:c r="N88" s="2"/>
      <x:c r="O88" s="2"/>
      <x:c r="P88" s="2"/>
      <x:c r="Q88" s="2"/>
    </x:row>
    <x:row r="89" ht="22" customHeight="1">
      <x:c r="A89" s="2"/>
      <x:c r="B89" s="2"/>
      <x:c r="C89" s="2"/>
      <x:c r="D89" s="3"/>
      <x:c r="E89" s="3"/>
      <x:c r="F89" s="3"/>
      <x:c r="G89" s="3"/>
      <x:c r="H89" s="3"/>
      <x:c r="I89" s="3"/>
      <x:c r="J89" s="2"/>
      <x:c r="K89" s="2"/>
      <x:c r="L89" s="2"/>
      <x:c r="M89" s="2"/>
      <x:c r="N89" s="2"/>
      <x:c r="O89" s="2"/>
      <x:c r="P89" s="2"/>
      <x:c r="Q89" s="2"/>
    </x:row>
    <x:row r="90" ht="22" customHeight="1">
      <x:c r="A90" s="2"/>
      <x:c r="B90" s="2"/>
      <x:c r="C90" s="2"/>
      <x:c r="D90" s="3"/>
      <x:c r="E90" s="3"/>
      <x:c r="F90" s="3"/>
      <x:c r="G90" s="3"/>
      <x:c r="H90" s="3"/>
      <x:c r="I90" s="3"/>
      <x:c r="J90" s="2"/>
      <x:c r="K90" s="2"/>
      <x:c r="L90" s="2"/>
      <x:c r="M90" s="2"/>
      <x:c r="N90" s="2"/>
      <x:c r="O90" s="2"/>
      <x:c r="P90" s="2"/>
      <x:c r="Q90" s="2"/>
    </x:row>
    <x:row r="91" ht="22" customHeight="1">
      <x:c r="A91" s="2"/>
      <x:c r="B91" s="2"/>
      <x:c r="C91" s="2"/>
      <x:c r="D91" s="3"/>
      <x:c r="E91" s="3"/>
      <x:c r="F91" s="3"/>
      <x:c r="G91" s="3"/>
      <x:c r="H91" s="3"/>
      <x:c r="I91" s="3"/>
      <x:c r="J91" s="2"/>
      <x:c r="K91" s="2"/>
      <x:c r="L91" s="2"/>
      <x:c r="M91" s="2"/>
      <x:c r="N91" s="2"/>
      <x:c r="O91" s="2"/>
      <x:c r="P91" s="2"/>
      <x:c r="Q91" s="2"/>
    </x:row>
    <x:row r="92" ht="22" customHeight="1">
      <x:c r="A92" s="2"/>
      <x:c r="B92" s="2"/>
      <x:c r="C92" s="2"/>
      <x:c r="D92" s="3"/>
      <x:c r="E92" s="3"/>
      <x:c r="F92" s="3"/>
      <x:c r="G92" s="3"/>
      <x:c r="H92" s="3"/>
      <x:c r="I92" s="3"/>
      <x:c r="J92" s="2"/>
      <x:c r="K92" s="2"/>
      <x:c r="L92" s="2"/>
      <x:c r="M92" s="2"/>
      <x:c r="N92" s="2"/>
      <x:c r="O92" s="2"/>
      <x:c r="P92" s="2"/>
      <x:c r="Q92" s="2"/>
    </x:row>
    <x:row r="93" ht="22" customHeight="1">
      <x:c r="A93" s="2"/>
      <x:c r="B93" s="2"/>
      <x:c r="C93" s="2"/>
      <x:c r="D93" s="3"/>
      <x:c r="E93" s="3"/>
      <x:c r="F93" s="3"/>
      <x:c r="G93" s="3"/>
      <x:c r="H93" s="3"/>
      <x:c r="I93" s="3"/>
      <x:c r="J93" s="2"/>
      <x:c r="K93" s="2"/>
      <x:c r="L93" s="2"/>
      <x:c r="M93" s="2"/>
      <x:c r="N93" s="2"/>
      <x:c r="O93" s="2"/>
      <x:c r="P93" s="2"/>
      <x:c r="Q93" s="2"/>
    </x:row>
    <x:row r="94" ht="22" customHeight="1">
      <x:c r="A94" s="2"/>
      <x:c r="B94" s="2"/>
      <x:c r="C94" s="2"/>
      <x:c r="D94" s="3"/>
      <x:c r="E94" s="3"/>
      <x:c r="F94" s="3"/>
      <x:c r="G94" s="3"/>
      <x:c r="H94" s="3"/>
      <x:c r="I94" s="3"/>
      <x:c r="J94" s="2"/>
      <x:c r="K94" s="2"/>
      <x:c r="L94" s="2"/>
      <x:c r="M94" s="2"/>
      <x:c r="N94" s="2"/>
      <x:c r="O94" s="2"/>
      <x:c r="P94" s="2"/>
      <x:c r="Q94" s="2"/>
    </x:row>
    <x:row r="95" ht="22" customHeight="1">
      <x:c r="A95" s="2"/>
      <x:c r="B95" s="2"/>
      <x:c r="C95" s="2"/>
      <x:c r="D95" s="3"/>
      <x:c r="E95" s="3"/>
      <x:c r="F95" s="3"/>
      <x:c r="G95" s="3"/>
      <x:c r="H95" s="3"/>
      <x:c r="I95" s="3"/>
      <x:c r="J95" s="2"/>
      <x:c r="K95" s="2"/>
      <x:c r="L95" s="2"/>
      <x:c r="M95" s="2"/>
      <x:c r="N95" s="2"/>
      <x:c r="O95" s="2"/>
      <x:c r="P95" s="2"/>
      <x:c r="Q95" s="2"/>
    </x:row>
    <x:row r="96" ht="22" customHeight="1">
      <x:c r="A96" s="2"/>
      <x:c r="B96" s="2"/>
      <x:c r="C96" s="2"/>
      <x:c r="D96" s="3"/>
      <x:c r="E96" s="3"/>
      <x:c r="F96" s="3"/>
      <x:c r="G96" s="3"/>
      <x:c r="H96" s="3"/>
      <x:c r="I96" s="3"/>
      <x:c r="J96" s="2"/>
      <x:c r="K96" s="2"/>
      <x:c r="L96" s="2"/>
      <x:c r="M96" s="2"/>
      <x:c r="N96" s="2"/>
      <x:c r="O96" s="2"/>
      <x:c r="P96" s="2"/>
      <x:c r="Q96" s="2"/>
    </x:row>
    <x:row r="97" ht="22" customHeight="1">
      <x:c r="A97" s="2"/>
      <x:c r="B97" s="2"/>
      <x:c r="C97" s="2"/>
      <x:c r="D97" s="3"/>
      <x:c r="E97" s="3"/>
      <x:c r="F97" s="3"/>
      <x:c r="G97" s="3"/>
      <x:c r="H97" s="3"/>
      <x:c r="I97" s="3"/>
      <x:c r="J97" s="2"/>
      <x:c r="K97" s="2"/>
      <x:c r="L97" s="2"/>
      <x:c r="M97" s="2"/>
      <x:c r="N97" s="2"/>
      <x:c r="O97" s="2"/>
      <x:c r="P97" s="2"/>
      <x:c r="Q97" s="2"/>
    </x:row>
    <x:row r="98" ht="22" customHeight="1">
      <x:c r="A98" s="2"/>
      <x:c r="B98" s="2"/>
      <x:c r="C98" s="2"/>
      <x:c r="D98" s="3"/>
      <x:c r="E98" s="3"/>
      <x:c r="F98" s="3"/>
      <x:c r="G98" s="3"/>
      <x:c r="H98" s="3"/>
      <x:c r="I98" s="3"/>
      <x:c r="J98" s="2"/>
      <x:c r="K98" s="2"/>
      <x:c r="L98" s="2"/>
      <x:c r="M98" s="2"/>
      <x:c r="N98" s="2"/>
      <x:c r="O98" s="2"/>
      <x:c r="P98" s="2"/>
      <x:c r="Q98" s="2"/>
    </x:row>
    <x:row r="99" ht="22" customHeight="1">
      <x:c r="A99" s="2"/>
      <x:c r="B99" s="2"/>
      <x:c r="C99" s="2"/>
      <x:c r="D99" s="3"/>
      <x:c r="E99" s="3"/>
      <x:c r="F99" s="3"/>
      <x:c r="G99" s="3"/>
      <x:c r="H99" s="3"/>
      <x:c r="I99" s="3"/>
      <x:c r="J99" s="2"/>
      <x:c r="K99" s="2"/>
      <x:c r="L99" s="2"/>
      <x:c r="M99" s="2"/>
      <x:c r="N99" s="2"/>
      <x:c r="O99" s="2"/>
      <x:c r="P99" s="2"/>
      <x:c r="Q99" s="2"/>
    </x:row>
    <x:row r="100" ht="22" customHeight="1">
      <x:c r="A100" s="2"/>
      <x:c r="B100" s="2"/>
      <x:c r="C100" s="2"/>
      <x:c r="D100" s="3"/>
      <x:c r="E100" s="3"/>
      <x:c r="F100" s="3"/>
      <x:c r="G100" s="3"/>
      <x:c r="H100" s="3"/>
      <x:c r="I100" s="3"/>
      <x:c r="J100" s="2"/>
      <x:c r="K100" s="2"/>
      <x:c r="L100" s="2"/>
      <x:c r="M100" s="2"/>
      <x:c r="N100" s="2"/>
      <x:c r="O100" s="2"/>
      <x:c r="P100" s="2"/>
      <x:c r="Q100" s="2"/>
    </x:row>
    <x:row r="101" ht="22" customHeight="1">
      <x:c r="A101" s="2"/>
      <x:c r="B101" s="2"/>
      <x:c r="C101" s="2"/>
      <x:c r="D101" s="3"/>
      <x:c r="E101" s="3"/>
      <x:c r="F101" s="3"/>
      <x:c r="G101" s="3"/>
      <x:c r="H101" s="3"/>
      <x:c r="I101" s="3"/>
      <x:c r="J101" s="2"/>
      <x:c r="K101" s="2"/>
      <x:c r="L101" s="2"/>
      <x:c r="M101" s="2"/>
      <x:c r="N101" s="2"/>
      <x:c r="O101" s="2"/>
      <x:c r="P101" s="2"/>
      <x:c r="Q101" s="2"/>
    </x:row>
    <x:row r="102" ht="22" customHeight="1">
      <x:c r="A102" s="2"/>
      <x:c r="B102" s="2"/>
      <x:c r="C102" s="2"/>
      <x:c r="D102" s="3"/>
      <x:c r="E102" s="3"/>
      <x:c r="F102" s="3"/>
      <x:c r="G102" s="3"/>
      <x:c r="H102" s="3"/>
      <x:c r="I102" s="3"/>
      <x:c r="J102" s="2"/>
      <x:c r="K102" s="2"/>
      <x:c r="L102" s="2"/>
      <x:c r="M102" s="2"/>
      <x:c r="N102" s="2"/>
      <x:c r="O102" s="2"/>
      <x:c r="P102" s="2"/>
      <x:c r="Q102" s="2"/>
    </x:row>
    <x:row r="103" ht="22" customHeight="1">
      <x:c r="A103" s="2"/>
      <x:c r="B103" s="2"/>
      <x:c r="C103" s="2"/>
      <x:c r="D103" s="3"/>
      <x:c r="E103" s="3"/>
      <x:c r="F103" s="3"/>
      <x:c r="G103" s="3"/>
      <x:c r="H103" s="3"/>
      <x:c r="I103" s="3"/>
      <x:c r="J103" s="2"/>
      <x:c r="K103" s="2"/>
      <x:c r="L103" s="2"/>
      <x:c r="M103" s="2"/>
      <x:c r="N103" s="2"/>
      <x:c r="O103" s="2"/>
      <x:c r="P103" s="2"/>
      <x:c r="Q103" s="2"/>
    </x:row>
    <x:row r="104" ht="22" customHeight="1">
      <x:c r="A104" s="2"/>
      <x:c r="B104" s="2"/>
      <x:c r="C104" s="2"/>
      <x:c r="D104" s="3"/>
      <x:c r="E104" s="3"/>
      <x:c r="F104" s="3"/>
      <x:c r="G104" s="3"/>
      <x:c r="H104" s="3"/>
      <x:c r="I104" s="3"/>
      <x:c r="J104" s="2"/>
      <x:c r="K104" s="2"/>
      <x:c r="L104" s="2"/>
      <x:c r="M104" s="2"/>
      <x:c r="N104" s="2"/>
      <x:c r="O104" s="2"/>
      <x:c r="P104" s="2"/>
      <x:c r="Q104" s="2"/>
    </x:row>
    <x:row r="105" ht="22" customHeight="1">
      <x:c r="A105" s="2"/>
      <x:c r="B105" s="2"/>
      <x:c r="C105" s="2"/>
      <x:c r="D105" s="3"/>
      <x:c r="E105" s="3"/>
      <x:c r="F105" s="3"/>
      <x:c r="G105" s="3"/>
      <x:c r="H105" s="3"/>
      <x:c r="I105" s="3"/>
      <x:c r="J105" s="2"/>
      <x:c r="K105" s="2"/>
      <x:c r="L105" s="2"/>
      <x:c r="M105" s="2"/>
      <x:c r="N105" s="2"/>
      <x:c r="O105" s="2"/>
      <x:c r="P105" s="2"/>
      <x:c r="Q105" s="2"/>
    </x:row>
    <x:row r="106" ht="22" customHeight="1">
      <x:c r="A106" s="2"/>
      <x:c r="B106" s="2"/>
      <x:c r="C106" s="2"/>
      <x:c r="D106" s="3"/>
      <x:c r="E106" s="3"/>
      <x:c r="F106" s="3"/>
      <x:c r="G106" s="3"/>
      <x:c r="H106" s="3"/>
      <x:c r="I106" s="3"/>
      <x:c r="J106" s="2"/>
      <x:c r="K106" s="2"/>
      <x:c r="L106" s="2"/>
      <x:c r="M106" s="2"/>
      <x:c r="N106" s="2"/>
      <x:c r="O106" s="2"/>
      <x:c r="P106" s="2"/>
      <x:c r="Q106" s="2"/>
    </x:row>
    <x:row r="107" ht="22" customHeight="1">
      <x:c r="A107" s="2"/>
      <x:c r="B107" s="2"/>
      <x:c r="C107" s="2"/>
      <x:c r="D107" s="3"/>
      <x:c r="E107" s="3"/>
      <x:c r="F107" s="3"/>
      <x:c r="G107" s="3"/>
      <x:c r="H107" s="3"/>
      <x:c r="I107" s="3"/>
      <x:c r="J107" s="2"/>
      <x:c r="K107" s="2"/>
      <x:c r="L107" s="2"/>
      <x:c r="M107" s="2"/>
      <x:c r="N107" s="2"/>
      <x:c r="O107" s="2"/>
      <x:c r="P107" s="2"/>
      <x:c r="Q107" s="2"/>
    </x:row>
    <x:row r="108" ht="22" customHeight="1">
      <x:c r="A108" s="2"/>
      <x:c r="B108" s="2"/>
      <x:c r="C108" s="2"/>
      <x:c r="D108" s="3"/>
      <x:c r="E108" s="3"/>
      <x:c r="F108" s="3"/>
      <x:c r="G108" s="3"/>
      <x:c r="H108" s="3"/>
      <x:c r="I108" s="3"/>
      <x:c r="J108" s="2"/>
      <x:c r="K108" s="2"/>
      <x:c r="L108" s="2"/>
      <x:c r="M108" s="2"/>
      <x:c r="N108" s="2"/>
      <x:c r="O108" s="2"/>
      <x:c r="P108" s="2"/>
      <x:c r="Q108" s="2"/>
    </x:row>
    <x:row r="109" ht="22" customHeight="1">
      <x:c r="A109" s="2"/>
      <x:c r="B109" s="2"/>
      <x:c r="C109" s="2"/>
      <x:c r="D109" s="3"/>
      <x:c r="E109" s="3"/>
      <x:c r="F109" s="3"/>
      <x:c r="G109" s="3"/>
      <x:c r="H109" s="3"/>
      <x:c r="I109" s="3"/>
      <x:c r="J109" s="2"/>
      <x:c r="K109" s="2"/>
      <x:c r="L109" s="2"/>
      <x:c r="M109" s="2"/>
      <x:c r="N109" s="2"/>
      <x:c r="O109" s="2"/>
      <x:c r="P109" s="2"/>
      <x:c r="Q109" s="2"/>
    </x:row>
    <x:row r="110" ht="22" customHeight="1">
      <x:c r="A110" s="2"/>
      <x:c r="B110" s="2"/>
      <x:c r="C110" s="2"/>
      <x:c r="D110" s="3"/>
      <x:c r="E110" s="3"/>
      <x:c r="F110" s="3"/>
      <x:c r="G110" s="3"/>
      <x:c r="H110" s="3"/>
      <x:c r="I110" s="3"/>
      <x:c r="J110" s="2"/>
      <x:c r="K110" s="2"/>
      <x:c r="L110" s="2"/>
      <x:c r="M110" s="2"/>
      <x:c r="N110" s="2"/>
      <x:c r="O110" s="2"/>
      <x:c r="P110" s="2"/>
      <x:c r="Q110" s="2"/>
    </x:row>
    <x:row r="111" ht="22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 ht="22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 ht="22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 ht="22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 ht="22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 ht="22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 ht="22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 ht="22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 ht="22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 ht="22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</x:sheetData>
  <x:pageMargins left="0.7" right="0.7" top="0.75" bottom="0.75" header="0.3" footer="0.3"/>
  <x:drawing xmlns:r="http://schemas.openxmlformats.org/officeDocument/2006/relationships" r:id="Rd851c88ece8f40e0"/>
</x:worksheet>
</file>

<file path=xl/worksheets/sheet2.xml><?xml version="1.0" encoding="utf-8"?>
<x:worksheet xmlns:x="http://schemas.openxmlformats.org/spreadsheetml/2006/main">
  <x:sheetPr>
    <x:tabColor rgb="FF52738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3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2" customHeight="1">
      <x:c r="A2" s="2"/>
      <x:c r="B2" s="2"/>
      <x:c r="C2" s="4" t="str">
        <x:v>Assumptions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</x:row>
    <x:row r="3" ht="22" customHeight="1">
      <x:c r="A3" s="2"/>
      <x:c r="B3" s="2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</x:row>
    <x:row r="4" ht="22" customHeight="1">
      <x:c r="A4" s="2"/>
      <x:c r="B4" s="2"/>
      <x:c r="C4" s="2" t="str">
        <x:v>USD millions | FY2025 historical; 2026–2030 forecast</x:v>
      </x:c>
      <x:c r="D4" s="2"/>
      <x:c r="E4" s="2"/>
      <x:c r="F4" s="2"/>
      <x:c r="G4" s="2"/>
      <x:c r="H4" s="2"/>
      <x:c r="I4" s="2"/>
      <x:c r="J4" s="2"/>
      <x:c r="K4" s="2" t="str">
        <x:v>Case Selected:</x:v>
      </x:c>
      <x:c r="L4" s="8" t="str">
        <x:f>CHOOSE(Assumptions!$D$5,"Base","Upside","Downside")</x:f>
        <x:v>Base</x:v>
      </x:c>
      <x:c r="M4" s="2"/>
      <x:c r="N4" s="2"/>
      <x:c r="O4" s="2"/>
      <x:c r="P4" s="2"/>
      <x:c r="Q4" s="2"/>
    </x:row>
    <x:row r="5" ht="22" customHeight="1">
      <x:c r="A5" s="2"/>
      <x:c r="B5" s="2"/>
      <x:c r="C5" s="2" t="str">
        <x:v>Case: 1 Base / 2 Upside / 3 Downside</x:v>
      </x:c>
      <x:c r="D5" s="15" t="n">
        <x:v>1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2" customHeight="1">
      <x:c r="A6" s="2"/>
      <x:c r="B6" s="2"/>
      <x:c r="C6" s="13"/>
      <x:c r="D6" s="14"/>
      <x:c r="E6" s="14"/>
      <x:c r="F6" s="14"/>
      <x:c r="G6" s="14"/>
      <x:c r="H6" s="14"/>
      <x:c r="I6" s="14"/>
      <x:c r="J6" s="2"/>
      <x:c r="K6" s="2"/>
      <x:c r="L6" s="2"/>
      <x:c r="M6" s="2"/>
      <x:c r="N6" s="2"/>
      <x:c r="O6" s="2"/>
      <x:c r="P6" s="2"/>
      <x:c r="Q6" s="2"/>
    </x:row>
    <x:row r="7" ht="22" customHeight="1">
      <x:c r="A7" s="2"/>
      <x:c r="B7" s="2"/>
      <x:c r="C7" s="2"/>
      <x:c r="D7" s="3"/>
      <x:c r="E7" s="3"/>
      <x:c r="F7" s="3"/>
      <x:c r="G7" s="3"/>
      <x:c r="H7" s="3"/>
      <x:c r="I7" s="3"/>
      <x:c r="J7" s="2"/>
      <x:c r="K7" s="2"/>
      <x:c r="L7" s="2"/>
      <x:c r="M7" s="2"/>
      <x:c r="N7" s="2"/>
      <x:c r="O7" s="2"/>
      <x:c r="P7" s="2"/>
      <x:c r="Q7" s="2"/>
    </x:row>
    <x:row r="8" ht="22" customHeight="1">
      <x:c r="A8" s="2"/>
      <x:c r="B8" s="2"/>
      <x:c r="C8" s="2" t="str">
        <x:v>entry multiple</x:v>
      </x:c>
      <x:c r="D8" s="50" t="n">
        <x:f>Valuation!$L$7</x:f>
        <x:v>10.5</x:v>
      </x:c>
      <x:c r="E8" s="3"/>
      <x:c r="F8" s="3"/>
      <x:c r="G8" s="3"/>
      <x:c r="H8" s="3"/>
      <x:c r="I8" s="3"/>
      <x:c r="J8" s="2"/>
      <x:c r="K8" s="2"/>
      <x:c r="L8" s="2"/>
      <x:c r="M8" s="2"/>
      <x:c r="N8" s="2"/>
      <x:c r="O8" s="2"/>
      <x:c r="P8" s="2"/>
      <x:c r="Q8" s="2"/>
    </x:row>
    <x:row r="9" ht="22" customHeight="1">
      <x:c r="A9" s="2"/>
      <x:c r="B9" s="2"/>
      <x:c r="C9" s="2" t="str">
        <x:v>exit multiple</x:v>
      </x:c>
      <x:c r="D9" s="50" t="n">
        <x:f>Valuation!$L$8</x:f>
        <x:v>10.5</x:v>
      </x:c>
      <x:c r="E9" s="3"/>
      <x:c r="F9" s="3"/>
      <x:c r="G9" s="3"/>
      <x:c r="H9" s="3"/>
      <x:c r="I9" s="3"/>
      <x:c r="J9" s="2"/>
      <x:c r="K9" s="2"/>
      <x:c r="L9" s="2"/>
      <x:c r="M9" s="2"/>
      <x:c r="N9" s="2"/>
      <x:c r="O9" s="2"/>
      <x:c r="P9" s="2"/>
      <x:c r="Q9" s="2"/>
    </x:row>
    <x:row r="10" ht="22" customHeight="1">
      <x:c r="A10" s="2"/>
      <x:c r="B10" s="2"/>
      <x:c r="C10" s="2" t="str">
        <x:v>senior leverage</x:v>
      </x:c>
      <x:c r="D10" s="33" t="n">
        <x:v>3.5</x:v>
      </x:c>
      <x:c r="E10" s="3"/>
      <x:c r="F10" s="3"/>
      <x:c r="G10" s="3"/>
      <x:c r="H10" s="3"/>
      <x:c r="I10" s="3"/>
      <x:c r="J10" s="2"/>
      <x:c r="K10" s="2"/>
      <x:c r="L10" s="2"/>
      <x:c r="M10" s="2"/>
      <x:c r="N10" s="2"/>
      <x:c r="O10" s="2"/>
      <x:c r="P10" s="2"/>
      <x:c r="Q10" s="2"/>
    </x:row>
    <x:row r="11" ht="22" customHeight="1">
      <x:c r="A11" s="2"/>
      <x:c r="B11" s="2"/>
      <x:c r="C11" s="2" t="str">
        <x:v>junior leverage</x:v>
      </x:c>
      <x:c r="D11" s="33" t="n">
        <x:v>1</x:v>
      </x:c>
      <x:c r="E11" s="3"/>
      <x:c r="F11" s="3"/>
      <x:c r="G11" s="3"/>
      <x:c r="H11" s="3"/>
      <x:c r="I11" s="3"/>
      <x:c r="J11" s="2"/>
      <x:c r="K11" s="2"/>
      <x:c r="L11" s="2"/>
      <x:c r="M11" s="2"/>
      <x:c r="N11" s="2"/>
      <x:c r="O11" s="2"/>
      <x:c r="P11" s="2"/>
      <x:c r="Q11" s="2"/>
    </x:row>
    <x:row r="12" ht="22" customHeight="1">
      <x:c r="A12" s="2"/>
      <x:c r="B12" s="2"/>
      <x:c r="C12" s="2" t="str">
        <x:v>senior rate</x:v>
      </x:c>
      <x:c r="D12" s="18" t="n">
        <x:v>0.075</x:v>
      </x:c>
      <x:c r="E12" s="3"/>
      <x:c r="F12" s="3"/>
      <x:c r="G12" s="3"/>
      <x:c r="H12" s="3"/>
      <x:c r="I12" s="3"/>
      <x:c r="J12" s="2"/>
      <x:c r="K12" s="2"/>
      <x:c r="L12" s="2"/>
      <x:c r="M12" s="2"/>
      <x:c r="N12" s="2"/>
      <x:c r="O12" s="2"/>
      <x:c r="P12" s="2"/>
      <x:c r="Q12" s="2"/>
    </x:row>
    <x:row r="13" ht="22" customHeight="1">
      <x:c r="A13" s="2"/>
      <x:c r="B13" s="2"/>
      <x:c r="C13" s="2" t="str">
        <x:v>junior rate</x:v>
      </x:c>
      <x:c r="D13" s="18" t="n">
        <x:v>0.105</x:v>
      </x:c>
      <x:c r="E13" s="3"/>
      <x:c r="F13" s="3"/>
      <x:c r="G13" s="3"/>
      <x:c r="H13" s="3"/>
      <x:c r="I13" s="3"/>
      <x:c r="J13" s="2"/>
      <x:c r="K13" s="2"/>
      <x:c r="L13" s="2"/>
      <x:c r="M13" s="2"/>
      <x:c r="N13" s="2"/>
      <x:c r="O13" s="2"/>
      <x:c r="P13" s="2"/>
      <x:c r="Q13" s="2"/>
    </x:row>
    <x:row r="14" ht="22" customHeight="1">
      <x:c r="A14" s="2"/>
      <x:c r="B14" s="2"/>
      <x:c r="C14" s="2" t="str">
        <x:v>senior amort</x:v>
      </x:c>
      <x:c r="D14" s="18" t="n">
        <x:v>0.01</x:v>
      </x:c>
      <x:c r="E14" s="3"/>
      <x:c r="F14" s="3"/>
      <x:c r="G14" s="3"/>
      <x:c r="H14" s="3"/>
      <x:c r="I14" s="3"/>
      <x:c r="J14" s="2"/>
      <x:c r="K14" s="2"/>
      <x:c r="L14" s="2"/>
      <x:c r="M14" s="2"/>
      <x:c r="N14" s="2"/>
      <x:c r="O14" s="2"/>
      <x:c r="P14" s="2"/>
      <x:c r="Q14" s="2"/>
    </x:row>
    <x:row r="15" ht="22" customHeight="1">
      <x:c r="A15" s="2"/>
      <x:c r="B15" s="2"/>
      <x:c r="C15" s="2" t="str">
        <x:v>junior amort</x:v>
      </x:c>
      <x:c r="D15" s="18" t="n">
        <x:v>0.01</x:v>
      </x:c>
      <x:c r="E15" s="3"/>
      <x:c r="F15" s="3"/>
      <x:c r="G15" s="3"/>
      <x:c r="H15" s="3"/>
      <x:c r="I15" s="3"/>
      <x:c r="J15" s="2"/>
      <x:c r="K15" s="2"/>
      <x:c r="L15" s="2"/>
      <x:c r="M15" s="2"/>
      <x:c r="N15" s="2"/>
      <x:c r="O15" s="2"/>
      <x:c r="P15" s="2"/>
      <x:c r="Q15" s="2"/>
    </x:row>
    <x:row r="16" ht="22" customHeight="1">
      <x:c r="A16" s="2"/>
      <x:c r="B16" s="2"/>
      <x:c r="C16" s="2" t="str">
        <x:v>cash sweep</x:v>
      </x:c>
      <x:c r="D16" s="18" t="n">
        <x:v>0.75</x:v>
      </x:c>
      <x:c r="E16" s="3"/>
      <x:c r="F16" s="3"/>
      <x:c r="G16" s="3"/>
      <x:c r="H16" s="3"/>
      <x:c r="I16" s="3"/>
      <x:c r="J16" s="2"/>
      <x:c r="K16" s="2"/>
      <x:c r="L16" s="2"/>
      <x:c r="M16" s="2"/>
      <x:c r="N16" s="2"/>
      <x:c r="O16" s="2"/>
      <x:c r="P16" s="2"/>
      <x:c r="Q16" s="2"/>
    </x:row>
    <x:row r="17" ht="22" customHeight="1">
      <x:c r="A17" s="2"/>
      <x:c r="B17" s="2"/>
      <x:c r="C17" s="2" t="str">
        <x:v>min cash</x:v>
      </x:c>
      <x:c r="D17" s="16" t="n">
        <x:v>100</x:v>
      </x:c>
      <x:c r="E17" s="3"/>
      <x:c r="F17" s="3"/>
      <x:c r="G17" s="3"/>
      <x:c r="H17" s="3"/>
      <x:c r="I17" s="3"/>
      <x:c r="J17" s="2"/>
      <x:c r="K17" s="2"/>
      <x:c r="L17" s="2"/>
      <x:c r="M17" s="2"/>
      <x:c r="N17" s="2"/>
      <x:c r="O17" s="2"/>
      <x:c r="P17" s="2"/>
      <x:c r="Q17" s="2"/>
    </x:row>
    <x:row r="18" ht="22" customHeight="1">
      <x:c r="A18" s="2"/>
      <x:c r="B18" s="2"/>
      <x:c r="C18" s="2" t="str">
        <x:v>fees pct</x:v>
      </x:c>
      <x:c r="D18" s="18" t="n">
        <x:v>0.02</x:v>
      </x:c>
      <x:c r="E18" s="3"/>
      <x:c r="F18" s="3"/>
      <x:c r="G18" s="3"/>
      <x:c r="H18" s="3"/>
      <x:c r="I18" s="3"/>
      <x:c r="J18" s="2"/>
      <x:c r="K18" s="2"/>
      <x:c r="L18" s="2"/>
      <x:c r="M18" s="2"/>
      <x:c r="N18" s="2"/>
      <x:c r="O18" s="2"/>
      <x:c r="P18" s="2"/>
      <x:c r="Q18" s="2"/>
    </x:row>
    <x:row r="19" ht="22" customHeight="1">
      <x:c r="A19" s="2"/>
      <x:c r="B19" s="2"/>
      <x:c r="C19" s="2" t="str">
        <x:v>tax rate</x:v>
      </x:c>
      <x:c r="D19" s="18" t="n">
        <x:v>0.25</x:v>
      </x:c>
      <x:c r="E19" s="3"/>
      <x:c r="F19" s="3"/>
      <x:c r="G19" s="3"/>
      <x:c r="H19" s="3"/>
      <x:c r="I19" s="3"/>
      <x:c r="J19" s="2"/>
      <x:c r="K19" s="2"/>
      <x:c r="L19" s="2"/>
      <x:c r="M19" s="2"/>
      <x:c r="N19" s="2"/>
      <x:c r="O19" s="2"/>
      <x:c r="P19" s="2"/>
      <x:c r="Q19" s="2"/>
    </x:row>
    <x:row r="20" ht="22" customHeight="1">
      <x:c r="A20" s="2"/>
      <x:c r="B20" s="2"/>
      <x:c r="C20" s="2" t="str">
        <x:v>wacc</x:v>
      </x:c>
      <x:c r="D20" s="18" t="n">
        <x:v>0.095</x:v>
      </x:c>
      <x:c r="E20" s="3"/>
      <x:c r="F20" s="3"/>
      <x:c r="G20" s="3"/>
      <x:c r="H20" s="3"/>
      <x:c r="I20" s="3"/>
      <x:c r="J20" s="2"/>
      <x:c r="K20" s="2"/>
      <x:c r="L20" s="2"/>
      <x:c r="M20" s="2"/>
      <x:c r="N20" s="2"/>
      <x:c r="O20" s="2"/>
      <x:c r="P20" s="2"/>
      <x:c r="Q20" s="2"/>
    </x:row>
    <x:row r="21" ht="22" customHeight="1">
      <x:c r="A21" s="2"/>
      <x:c r="B21" s="2"/>
      <x:c r="C21" s="2" t="str">
        <x:v>terminal growth</x:v>
      </x:c>
      <x:c r="D21" s="18" t="n">
        <x:v>0.025</x:v>
      </x:c>
      <x:c r="E21" s="3"/>
      <x:c r="F21" s="3"/>
      <x:c r="G21" s="3"/>
      <x:c r="H21" s="3"/>
      <x:c r="I21" s="3"/>
      <x:c r="J21" s="2"/>
      <x:c r="K21" s="2"/>
      <x:c r="L21" s="2"/>
      <x:c r="M21" s="2"/>
      <x:c r="N21" s="2"/>
      <x:c r="O21" s="2"/>
      <x:c r="P21" s="2"/>
      <x:c r="Q21" s="2"/>
    </x:row>
    <x:row r="22" ht="22" customHeight="1">
      <x:c r="A22" s="2"/>
      <x:c r="B22" s="2"/>
      <x:c r="C22" s="2" t="str">
        <x:v>cap rate</x:v>
      </x:c>
      <x:c r="D22" s="18" t="n">
        <x:v>0.085</x:v>
      </x:c>
      <x:c r="E22" s="3"/>
      <x:c r="F22" s="3"/>
      <x:c r="G22" s="3"/>
      <x:c r="H22" s="3"/>
      <x:c r="I22" s="3"/>
      <x:c r="J22" s="2"/>
      <x:c r="K22" s="2"/>
      <x:c r="L22" s="2"/>
      <x:c r="M22" s="2"/>
      <x:c r="N22" s="2"/>
      <x:c r="O22" s="2"/>
      <x:c r="P22" s="2"/>
      <x:c r="Q22" s="2"/>
    </x:row>
    <x:row r="23" ht="22" customHeight="1">
      <x:c r="A23" s="2"/>
      <x:c r="B23" s="2"/>
      <x:c r="C23" s="2" t="str">
        <x:v>reserve pct</x:v>
      </x:c>
      <x:c r="D23" s="18" t="n">
        <x:v>0.04</x:v>
      </x:c>
      <x:c r="E23" s="3"/>
      <x:c r="F23" s="3"/>
      <x:c r="G23" s="3"/>
      <x:c r="H23" s="3"/>
      <x:c r="I23" s="3"/>
      <x:c r="J23" s="2"/>
      <x:c r="K23" s="2"/>
      <x:c r="L23" s="2"/>
      <x:c r="M23" s="2"/>
      <x:c r="N23" s="2"/>
      <x:c r="O23" s="2"/>
      <x:c r="P23" s="2"/>
      <x:c r="Q23" s="2"/>
    </x:row>
    <x:row r="24" ht="22" customHeight="1">
      <x:c r="A24" s="2"/>
      <x:c r="B24" s="2"/>
      <x:c r="C24" s="2" t="str">
        <x:v>max leverage</x:v>
      </x:c>
      <x:c r="D24" s="33" t="n">
        <x:v>6</x:v>
      </x:c>
      <x:c r="E24" s="3"/>
      <x:c r="F24" s="3"/>
      <x:c r="G24" s="3"/>
      <x:c r="H24" s="3"/>
      <x:c r="I24" s="3"/>
      <x:c r="J24" s="2"/>
      <x:c r="K24" s="2"/>
      <x:c r="L24" s="2"/>
      <x:c r="M24" s="2"/>
      <x:c r="N24" s="2"/>
      <x:c r="O24" s="2"/>
      <x:c r="P24" s="2"/>
      <x:c r="Q24" s="2"/>
    </x:row>
    <x:row r="25" ht="22" customHeight="1">
      <x:c r="A25" s="2"/>
      <x:c r="B25" s="2"/>
      <x:c r="C25" s="2" t="str">
        <x:v>min dscr</x:v>
      </x:c>
      <x:c r="D25" s="33" t="n">
        <x:v>1.25</x:v>
      </x:c>
      <x:c r="E25" s="3"/>
      <x:c r="F25" s="3"/>
      <x:c r="G25" s="3"/>
      <x:c r="H25" s="3"/>
      <x:c r="I25" s="3"/>
      <x:c r="J25" s="2"/>
      <x:c r="K25" s="2"/>
      <x:c r="L25" s="2"/>
      <x:c r="M25" s="2"/>
      <x:c r="N25" s="2"/>
      <x:c r="O25" s="2"/>
      <x:c r="P25" s="2"/>
      <x:c r="Q25" s="2"/>
    </x:row>
    <x:row r="26" ht="22" customHeight="1">
      <x:c r="A26" s="2"/>
      <x:c r="B26" s="2"/>
      <x:c r="C26" s="2" t="str">
        <x:v>hurdle</x:v>
      </x:c>
      <x:c r="D26" s="18" t="n">
        <x:v>0.2</x:v>
      </x:c>
      <x:c r="E26" s="3"/>
      <x:c r="F26" s="3"/>
      <x:c r="G26" s="3"/>
      <x:c r="H26" s="3"/>
      <x:c r="I26" s="3"/>
      <x:c r="J26" s="2"/>
      <x:c r="K26" s="2"/>
      <x:c r="L26" s="2"/>
      <x:c r="M26" s="2"/>
      <x:c r="N26" s="2"/>
      <x:c r="O26" s="2"/>
      <x:c r="P26" s="2"/>
      <x:c r="Q26" s="2"/>
    </x:row>
    <x:row r="27" ht="22" customHeight="1">
      <x:c r="A27" s="2"/>
      <x:c r="B27" s="2"/>
      <x:c r="C27" s="2" t="str">
        <x:v>asset life</x:v>
      </x:c>
      <x:c r="D27" s="16" t="n">
        <x:v>25</x:v>
      </x:c>
      <x:c r="E27" s="3"/>
      <x:c r="F27" s="3"/>
      <x:c r="G27" s="3"/>
      <x:c r="H27" s="3"/>
      <x:c r="I27" s="3"/>
      <x:c r="J27" s="2"/>
      <x:c r="K27" s="2"/>
      <x:c r="L27" s="2"/>
      <x:c r="M27" s="2"/>
      <x:c r="N27" s="2"/>
      <x:c r="O27" s="2"/>
      <x:c r="P27" s="2"/>
      <x:c r="Q27" s="2"/>
    </x:row>
    <x:row r="28" ht="22" customHeight="1">
      <x:c r="A28" s="2"/>
      <x:c r="B28" s="2"/>
      <x:c r="C28" s="2" t="str">
        <x:v>new capex life</x:v>
      </x:c>
      <x:c r="D28" s="16" t="n">
        <x:v>15</x:v>
      </x:c>
      <x:c r="E28" s="3"/>
      <x:c r="F28" s="3"/>
      <x:c r="G28" s="3"/>
      <x:c r="H28" s="3"/>
      <x:c r="I28" s="3"/>
      <x:c r="J28" s="2"/>
      <x:c r="K28" s="2"/>
      <x:c r="L28" s="2"/>
      <x:c r="M28" s="2"/>
      <x:c r="N28" s="2"/>
      <x:c r="O28" s="2"/>
      <x:c r="P28" s="2"/>
      <x:c r="Q28" s="2"/>
    </x:row>
    <x:row r="29" ht="22" customHeight="1">
      <x:c r="A29" s="2"/>
      <x:c r="B29" s="2"/>
      <x:c r="C29" s="2" t="str">
        <x:v>property damage</x:v>
      </x:c>
      <x:c r="D29" s="16" t="n">
        <x:v>100</x:v>
      </x:c>
      <x:c r="E29" s="3"/>
      <x:c r="F29" s="3"/>
      <x:c r="G29" s="3"/>
      <x:c r="H29" s="3"/>
      <x:c r="I29" s="3"/>
      <x:c r="J29" s="2"/>
      <x:c r="K29" s="2"/>
      <x:c r="L29" s="2"/>
      <x:c r="M29" s="2"/>
      <x:c r="N29" s="2"/>
      <x:c r="O29" s="2"/>
      <x:c r="P29" s="2"/>
      <x:c r="Q29" s="2"/>
    </x:row>
    <x:row r="30" ht="22" customHeight="1">
      <x:c r="A30" s="2"/>
      <x:c r="B30" s="2"/>
      <x:c r="C30" s="2" t="str">
        <x:v>bi loss</x:v>
      </x:c>
      <x:c r="D30" s="16" t="n">
        <x:v>20</x:v>
      </x:c>
      <x:c r="E30" s="3"/>
      <x:c r="F30" s="3"/>
      <x:c r="G30" s="3"/>
      <x:c r="H30" s="3"/>
      <x:c r="I30" s="3"/>
      <x:c r="J30" s="2"/>
      <x:c r="K30" s="2"/>
      <x:c r="L30" s="2"/>
      <x:c r="M30" s="2"/>
      <x:c r="N30" s="2"/>
      <x:c r="O30" s="2"/>
      <x:c r="P30" s="2"/>
      <x:c r="Q30" s="2"/>
    </x:row>
    <x:row r="31" ht="22" customHeight="1">
      <x:c r="A31" s="2"/>
      <x:c r="B31" s="2"/>
      <x:c r="C31" s="2" t="str">
        <x:v>property deductible</x:v>
      </x:c>
      <x:c r="D31" s="16" t="n">
        <x:v>10</x:v>
      </x:c>
      <x:c r="E31" s="3"/>
      <x:c r="F31" s="3"/>
      <x:c r="G31" s="3"/>
      <x:c r="H31" s="3"/>
      <x:c r="I31" s="3"/>
      <x:c r="J31" s="2"/>
      <x:c r="K31" s="2"/>
      <x:c r="L31" s="2"/>
      <x:c r="M31" s="2"/>
      <x:c r="N31" s="2"/>
      <x:c r="O31" s="2"/>
      <x:c r="P31" s="2"/>
      <x:c r="Q31" s="2"/>
    </x:row>
    <x:row r="32" ht="22" customHeight="1">
      <x:c r="A32" s="2"/>
      <x:c r="B32" s="2"/>
      <x:c r="C32" s="2" t="str">
        <x:v>combined property bi limit</x:v>
      </x:c>
      <x:c r="D32" s="16" t="n">
        <x:v>75</x:v>
      </x:c>
      <x:c r="E32" s="3"/>
      <x:c r="F32" s="3"/>
      <x:c r="G32" s="3"/>
      <x:c r="H32" s="3"/>
      <x:c r="I32" s="3"/>
      <x:c r="J32" s="2"/>
      <x:c r="K32" s="2"/>
      <x:c r="L32" s="2"/>
      <x:c r="M32" s="2"/>
      <x:c r="N32" s="2"/>
      <x:c r="O32" s="2"/>
      <x:c r="P32" s="2"/>
      <x:c r="Q32" s="2"/>
    </x:row>
    <x:row r="33" ht="22" customHeight="1">
      <x:c r="A33" s="2"/>
      <x:c r="B33" s="2"/>
      <x:c r="C33" s="2" t="str">
        <x:v>claim count</x:v>
      </x:c>
      <x:c r="D33" s="16" t="n">
        <x:v>30</x:v>
      </x:c>
      <x:c r="E33" s="3"/>
      <x:c r="F33" s="3"/>
      <x:c r="G33" s="3"/>
      <x:c r="H33" s="3"/>
      <x:c r="I33" s="3"/>
      <x:c r="J33" s="2"/>
      <x:c r="K33" s="2"/>
      <x:c r="L33" s="2"/>
      <x:c r="M33" s="2"/>
      <x:c r="N33" s="2"/>
      <x:c r="O33" s="2"/>
      <x:c r="P33" s="2"/>
      <x:c r="Q33" s="2"/>
    </x:row>
    <x:row r="34" ht="22" customHeight="1">
      <x:c r="A34" s="2"/>
      <x:c r="B34" s="2"/>
      <x:c r="C34" s="2" t="str">
        <x:v>claim severity</x:v>
      </x:c>
      <x:c r="D34" s="16" t="n">
        <x:v>0.4</x:v>
      </x:c>
      <x:c r="E34" s="3"/>
      <x:c r="F34" s="3"/>
      <x:c r="G34" s="3"/>
      <x:c r="H34" s="3"/>
      <x:c r="I34" s="3"/>
      <x:c r="J34" s="2"/>
      <x:c r="K34" s="2"/>
      <x:c r="L34" s="2"/>
      <x:c r="M34" s="2"/>
      <x:c r="N34" s="2"/>
      <x:c r="O34" s="2"/>
      <x:c r="P34" s="2"/>
      <x:c r="Q34" s="2"/>
    </x:row>
    <x:row r="35" ht="22" customHeight="1">
      <x:c r="A35" s="2"/>
      <x:c r="B35" s="2"/>
      <x:c r="C35" s="2" t="str">
        <x:v>gl retention</x:v>
      </x:c>
      <x:c r="D35" s="16" t="n">
        <x:v>0.1</x:v>
      </x:c>
      <x:c r="E35" s="3"/>
      <x:c r="F35" s="3"/>
      <x:c r="G35" s="3"/>
      <x:c r="H35" s="3"/>
      <x:c r="I35" s="3"/>
      <x:c r="J35" s="2"/>
      <x:c r="K35" s="2"/>
      <x:c r="L35" s="2"/>
      <x:c r="M35" s="2"/>
      <x:c r="N35" s="2"/>
      <x:c r="O35" s="2"/>
      <x:c r="P35" s="2"/>
      <x:c r="Q35" s="2"/>
    </x:row>
    <x:row r="36" ht="22" customHeight="1">
      <x:c r="A36" s="2"/>
      <x:c r="B36" s="2"/>
      <x:c r="C36" s="2" t="str">
        <x:v>gl limit</x:v>
      </x:c>
      <x:c r="D36" s="16" t="n">
        <x:v>2</x:v>
      </x:c>
      <x:c r="E36" s="3"/>
      <x:c r="F36" s="3"/>
      <x:c r="G36" s="3"/>
      <x:c r="H36" s="3"/>
      <x:c r="I36" s="3"/>
      <x:c r="J36" s="2"/>
      <x:c r="K36" s="2"/>
      <x:c r="L36" s="2"/>
      <x:c r="M36" s="2"/>
      <x:c r="N36" s="2"/>
      <x:c r="O36" s="2"/>
      <x:c r="P36" s="2"/>
      <x:c r="Q36" s="2"/>
    </x:row>
    <x:row r="37" ht="22" customHeight="1">
      <x:c r="A37" s="2"/>
      <x:c r="B37" s="2"/>
      <x:c r="C37" s="2" t="str">
        <x:v>assumed premium</x:v>
      </x:c>
      <x:c r="D37" s="16" t="n">
        <x:v>15</x:v>
      </x:c>
      <x:c r="E37" s="3"/>
      <x:c r="F37" s="3"/>
      <x:c r="G37" s="3"/>
      <x:c r="H37" s="3"/>
      <x:c r="I37" s="3"/>
      <x:c r="J37" s="2"/>
      <x:c r="K37" s="2"/>
      <x:c r="L37" s="2"/>
      <x:c r="M37" s="2"/>
      <x:c r="N37" s="2"/>
      <x:c r="O37" s="2"/>
      <x:c r="P37" s="2"/>
      <x:c r="Q37" s="2"/>
    </x:row>
    <x:row r="38" ht="22" customHeight="1">
      <x:c r="A38" s="2"/>
      <x:c r="B38" s="2"/>
      <x:c r="C38" s="2" t="str">
        <x:v>premium increase</x:v>
      </x:c>
      <x:c r="D38" s="18" t="n">
        <x:v>0.2</x:v>
      </x:c>
      <x:c r="E38" s="3"/>
      <x:c r="F38" s="3"/>
      <x:c r="G38" s="3"/>
      <x:c r="H38" s="3"/>
      <x:c r="I38" s="3"/>
      <x:c r="J38" s="2"/>
      <x:c r="K38" s="2"/>
      <x:c r="L38" s="2"/>
      <x:c r="M38" s="2"/>
      <x:c r="N38" s="2"/>
      <x:c r="O38" s="2"/>
      <x:c r="P38" s="2"/>
      <x:c r="Q38" s="2"/>
    </x:row>
    <x:row r="39" ht="22" customHeight="1">
      <x:c r="A39" s="2"/>
      <x:c r="B39" s="2"/>
      <x:c r="C39" s="2"/>
      <x:c r="D39" s="3"/>
      <x:c r="E39" s="3"/>
      <x:c r="F39" s="3"/>
      <x:c r="G39" s="3"/>
      <x:c r="H39" s="3"/>
      <x:c r="I39" s="3"/>
      <x:c r="J39" s="2"/>
      <x:c r="K39" s="2"/>
      <x:c r="L39" s="2"/>
      <x:c r="M39" s="2"/>
      <x:c r="N39" s="2"/>
      <x:c r="O39" s="2"/>
      <x:c r="P39" s="2"/>
      <x:c r="Q39" s="2"/>
    </x:row>
    <x:row r="40" ht="22" customHeight="1">
      <x:c r="A40" s="2"/>
      <x:c r="B40" s="2"/>
      <x:c r="C40" s="19" t="str">
        <x:v>Blue = editable; amber = analyst assumption. All deal, tax, cap-rate and insurance terms are illustrative.</x:v>
      </x:c>
      <x:c r="D40" s="20"/>
      <x:c r="E40" s="20"/>
      <x:c r="F40" s="20"/>
      <x:c r="G40" s="20"/>
      <x:c r="H40" s="20"/>
      <x:c r="I40" s="20"/>
      <x:c r="J40" s="19"/>
      <x:c r="K40" s="19"/>
      <x:c r="L40" s="19"/>
      <x:c r="M40" s="19"/>
      <x:c r="N40" s="2"/>
      <x:c r="O40" s="2"/>
      <x:c r="P40" s="2"/>
      <x:c r="Q40" s="2"/>
    </x:row>
    <x:row r="41" ht="22" customHeight="1">
      <x:c r="A41" s="2"/>
      <x:c r="B41" s="2"/>
      <x:c r="C41" s="2"/>
      <x:c r="D41" s="3"/>
      <x:c r="E41" s="3"/>
      <x:c r="F41" s="3"/>
      <x:c r="G41" s="3"/>
      <x:c r="H41" s="3"/>
      <x:c r="I41" s="3"/>
      <x:c r="J41" s="2"/>
      <x:c r="K41" s="2"/>
      <x:c r="L41" s="2"/>
      <x:c r="M41" s="2"/>
      <x:c r="N41" s="2"/>
      <x:c r="O41" s="2"/>
      <x:c r="P41" s="2"/>
      <x:c r="Q41" s="2"/>
    </x:row>
    <x:row r="42" ht="22" customHeight="1">
      <x:c r="A42" s="2"/>
      <x:c r="B42" s="2"/>
      <x:c r="C42" s="2"/>
      <x:c r="D42" s="48" t="n">
        <x:v>2026</x:v>
      </x:c>
      <x:c r="E42" s="48" t="n">
        <x:v>2027</x:v>
      </x:c>
      <x:c r="F42" s="48" t="n">
        <x:v>2028</x:v>
      </x:c>
      <x:c r="G42" s="48" t="n">
        <x:v>2029</x:v>
      </x:c>
      <x:c r="H42" s="48" t="n">
        <x:v>2030</x:v>
      </x:c>
      <x:c r="I42" s="3"/>
      <x:c r="J42" s="2"/>
      <x:c r="K42" s="2"/>
      <x:c r="L42" s="2"/>
      <x:c r="M42" s="2"/>
      <x:c r="N42" s="2"/>
      <x:c r="O42" s="2"/>
      <x:c r="P42" s="2"/>
      <x:c r="Q42" s="2"/>
    </x:row>
    <x:row r="43" ht="22" customHeight="1">
      <x:c r="A43" s="2"/>
      <x:c r="B43" s="2"/>
      <x:c r="C43" s="2"/>
      <x:c r="D43" s="3"/>
      <x:c r="E43" s="3"/>
      <x:c r="F43" s="3"/>
      <x:c r="G43" s="3"/>
      <x:c r="H43" s="3"/>
      <x:c r="I43" s="3"/>
      <x:c r="J43" s="2"/>
      <x:c r="K43" s="2"/>
      <x:c r="L43" s="2"/>
      <x:c r="M43" s="2"/>
      <x:c r="N43" s="2"/>
      <x:c r="O43" s="2"/>
      <x:c r="P43" s="2"/>
      <x:c r="Q43" s="2"/>
    </x:row>
    <x:row r="44" ht="22" customHeight="1">
      <x:c r="A44" s="2"/>
      <x:c r="B44" s="2"/>
      <x:c r="C44" s="13" t="str">
        <x:v>room growth | Active Selection</x:v>
      </x:c>
      <x:c r="D44" s="24" t="n">
        <x:f>CHOOSE($D$5,D45,D46,D47)</x:f>
        <x:v>0.035</x:v>
      </x:c>
      <x:c r="E44" s="24" t="n">
        <x:f>CHOOSE($D$5,E45,E46,E47)</x:f>
        <x:v>0.04</x:v>
      </x:c>
      <x:c r="F44" s="24" t="n">
        <x:f>CHOOSE($D$5,F45,F46,F47)</x:f>
        <x:v>0.03</x:v>
      </x:c>
      <x:c r="G44" s="24" t="n">
        <x:f>CHOOSE($D$5,G45,G46,G47)</x:f>
        <x:v>0.025</x:v>
      </x:c>
      <x:c r="H44" s="24" t="n">
        <x:f>CHOOSE($D$5,H45,H46,H47)</x:f>
        <x:v>0.025</x:v>
      </x:c>
      <x:c r="I44" s="3"/>
      <x:c r="J44" s="2"/>
      <x:c r="K44" s="2"/>
      <x:c r="L44" s="2"/>
      <x:c r="M44" s="2"/>
      <x:c r="N44" s="2"/>
      <x:c r="O44" s="2"/>
      <x:c r="P44" s="2"/>
      <x:c r="Q44" s="2"/>
    </x:row>
    <x:row r="45" ht="22" customHeight="1">
      <x:c r="A45" s="2"/>
      <x:c r="B45" s="2"/>
      <x:c r="C45" s="2" t="str">
        <x:v>Base</x:v>
      </x:c>
      <x:c r="D45" s="25" t="n">
        <x:v>0.035</x:v>
      </x:c>
      <x:c r="E45" s="25" t="n">
        <x:v>0.04</x:v>
      </x:c>
      <x:c r="F45" s="25" t="n">
        <x:v>0.03</x:v>
      </x:c>
      <x:c r="G45" s="25" t="n">
        <x:v>0.025</x:v>
      </x:c>
      <x:c r="H45" s="25" t="n">
        <x:v>0.025</x:v>
      </x:c>
      <x:c r="I45" s="3"/>
      <x:c r="J45" s="2"/>
      <x:c r="K45" s="2"/>
      <x:c r="L45" s="2"/>
      <x:c r="M45" s="2"/>
      <x:c r="N45" s="2"/>
      <x:c r="O45" s="2"/>
      <x:c r="P45" s="2"/>
      <x:c r="Q45" s="2"/>
    </x:row>
    <x:row r="46" ht="22" customHeight="1">
      <x:c r="A46" s="2"/>
      <x:c r="B46" s="2"/>
      <x:c r="C46" s="2" t="str">
        <x:v>Upside</x:v>
      </x:c>
      <x:c r="D46" s="25" t="n">
        <x:v>0.055</x:v>
      </x:c>
      <x:c r="E46" s="25" t="n">
        <x:v>0.06</x:v>
      </x:c>
      <x:c r="F46" s="25" t="n">
        <x:v>0.045</x:v>
      </x:c>
      <x:c r="G46" s="25" t="n">
        <x:v>0.035</x:v>
      </x:c>
      <x:c r="H46" s="25" t="n">
        <x:v>0.03</x:v>
      </x:c>
      <x:c r="I46" s="3"/>
      <x:c r="J46" s="2"/>
      <x:c r="K46" s="2"/>
      <x:c r="L46" s="2"/>
      <x:c r="M46" s="2"/>
      <x:c r="N46" s="2"/>
      <x:c r="O46" s="2"/>
      <x:c r="P46" s="2"/>
      <x:c r="Q46" s="2"/>
    </x:row>
    <x:row r="47" ht="22" customHeight="1">
      <x:c r="A47" s="2"/>
      <x:c r="B47" s="2"/>
      <x:c r="C47" s="2" t="str">
        <x:v>Downside</x:v>
      </x:c>
      <x:c r="D47" s="25" t="n">
        <x:v>-0.08</x:v>
      </x:c>
      <x:c r="E47" s="25" t="n">
        <x:v>-0.03</x:v>
      </x:c>
      <x:c r="F47" s="25" t="n">
        <x:v>0.03</x:v>
      </x:c>
      <x:c r="G47" s="25" t="n">
        <x:v>0.03</x:v>
      </x:c>
      <x:c r="H47" s="25" t="n">
        <x:v>0.025</x:v>
      </x:c>
      <x:c r="I47" s="3"/>
      <x:c r="J47" s="2"/>
      <x:c r="K47" s="2"/>
      <x:c r="L47" s="2"/>
      <x:c r="M47" s="2"/>
      <x:c r="N47" s="2"/>
      <x:c r="O47" s="2"/>
      <x:c r="P47" s="2"/>
      <x:c r="Q47" s="2"/>
    </x:row>
    <x:row r="48" ht="22" customHeight="1">
      <x:c r="A48" s="2"/>
      <x:c r="B48" s="2"/>
      <x:c r="C48" s="2"/>
      <x:c r="D48" s="3"/>
      <x:c r="E48" s="3"/>
      <x:c r="F48" s="3"/>
      <x:c r="G48" s="3"/>
      <x:c r="H48" s="3"/>
      <x:c r="I48" s="3"/>
      <x:c r="J48" s="2"/>
      <x:c r="K48" s="2"/>
      <x:c r="L48" s="2"/>
      <x:c r="M48" s="2"/>
      <x:c r="N48" s="2"/>
      <x:c r="O48" s="2"/>
      <x:c r="P48" s="2"/>
      <x:c r="Q48" s="2"/>
    </x:row>
    <x:row r="49" ht="22" customHeight="1">
      <x:c r="A49" s="2"/>
      <x:c r="B49" s="2"/>
      <x:c r="C49" s="13" t="str">
        <x:v>food growth | Active Selection</x:v>
      </x:c>
      <x:c r="D49" s="24" t="n">
        <x:f>CHOOSE($D$5,D50,D51,D52)</x:f>
        <x:v>0.025</x:v>
      </x:c>
      <x:c r="E49" s="24" t="n">
        <x:f>CHOOSE($D$5,E50,E51,E52)</x:f>
        <x:v>0.03</x:v>
      </x:c>
      <x:c r="F49" s="24" t="n">
        <x:f>CHOOSE($D$5,F50,F51,F52)</x:f>
        <x:v>0.025</x:v>
      </x:c>
      <x:c r="G49" s="24" t="n">
        <x:f>CHOOSE($D$5,G50,G51,G52)</x:f>
        <x:v>0.025</x:v>
      </x:c>
      <x:c r="H49" s="24" t="n">
        <x:f>CHOOSE($D$5,H50,H51,H52)</x:f>
        <x:v>0.025</x:v>
      </x:c>
      <x:c r="I49" s="3"/>
      <x:c r="J49" s="2"/>
      <x:c r="K49" s="2"/>
      <x:c r="L49" s="2"/>
      <x:c r="M49" s="2"/>
      <x:c r="N49" s="2"/>
      <x:c r="O49" s="2"/>
      <x:c r="P49" s="2"/>
      <x:c r="Q49" s="2"/>
    </x:row>
    <x:row r="50" ht="22" customHeight="1">
      <x:c r="A50" s="2"/>
      <x:c r="B50" s="2"/>
      <x:c r="C50" s="2" t="str">
        <x:v>Base</x:v>
      </x:c>
      <x:c r="D50" s="25" t="n">
        <x:v>0.025</x:v>
      </x:c>
      <x:c r="E50" s="25" t="n">
        <x:v>0.03</x:v>
      </x:c>
      <x:c r="F50" s="25" t="n">
        <x:v>0.025</x:v>
      </x:c>
      <x:c r="G50" s="25" t="n">
        <x:v>0.025</x:v>
      </x:c>
      <x:c r="H50" s="25" t="n">
        <x:v>0.025</x:v>
      </x:c>
      <x:c r="I50" s="3"/>
      <x:c r="J50" s="2"/>
      <x:c r="K50" s="2"/>
      <x:c r="L50" s="2"/>
      <x:c r="M50" s="2"/>
      <x:c r="N50" s="2"/>
      <x:c r="O50" s="2"/>
      <x:c r="P50" s="2"/>
      <x:c r="Q50" s="2"/>
    </x:row>
    <x:row r="51" ht="22" customHeight="1">
      <x:c r="A51" s="2"/>
      <x:c r="B51" s="2"/>
      <x:c r="C51" s="2" t="str">
        <x:v>Upside</x:v>
      </x:c>
      <x:c r="D51" s="25" t="n">
        <x:v>0.04</x:v>
      </x:c>
      <x:c r="E51" s="25" t="n">
        <x:v>0.045</x:v>
      </x:c>
      <x:c r="F51" s="25" t="n">
        <x:v>0.035</x:v>
      </x:c>
      <x:c r="G51" s="25" t="n">
        <x:v>0.03</x:v>
      </x:c>
      <x:c r="H51" s="25" t="n">
        <x:v>0.03</x:v>
      </x:c>
      <x:c r="I51" s="3"/>
      <x:c r="J51" s="2"/>
      <x:c r="K51" s="2"/>
      <x:c r="L51" s="2"/>
      <x:c r="M51" s="2"/>
      <x:c r="N51" s="2"/>
      <x:c r="O51" s="2"/>
      <x:c r="P51" s="2"/>
      <x:c r="Q51" s="2"/>
    </x:row>
    <x:row r="52" ht="22" customHeight="1">
      <x:c r="A52" s="2"/>
      <x:c r="B52" s="2"/>
      <x:c r="C52" s="2" t="str">
        <x:v>Downside</x:v>
      </x:c>
      <x:c r="D52" s="25" t="n">
        <x:v>-0.07</x:v>
      </x:c>
      <x:c r="E52" s="25" t="n">
        <x:v>-0.03</x:v>
      </x:c>
      <x:c r="F52" s="25" t="n">
        <x:v>0.025</x:v>
      </x:c>
      <x:c r="G52" s="25" t="n">
        <x:v>0.025</x:v>
      </x:c>
      <x:c r="H52" s="25" t="n">
        <x:v>0.025</x:v>
      </x:c>
      <x:c r="I52" s="3"/>
      <x:c r="J52" s="2"/>
      <x:c r="K52" s="2"/>
      <x:c r="L52" s="2"/>
      <x:c r="M52" s="2"/>
      <x:c r="N52" s="2"/>
      <x:c r="O52" s="2"/>
      <x:c r="P52" s="2"/>
      <x:c r="Q52" s="2"/>
    </x:row>
    <x:row r="53" ht="22" customHeight="1">
      <x:c r="A53" s="2"/>
      <x:c r="B53" s="2"/>
      <x:c r="C53" s="2"/>
      <x:c r="D53" s="3"/>
      <x:c r="E53" s="3"/>
      <x:c r="F53" s="3"/>
      <x:c r="G53" s="3"/>
      <x:c r="H53" s="3"/>
      <x:c r="I53" s="3"/>
      <x:c r="J53" s="2"/>
      <x:c r="K53" s="2"/>
      <x:c r="L53" s="2"/>
      <x:c r="M53" s="2"/>
      <x:c r="N53" s="2"/>
      <x:c r="O53" s="2"/>
      <x:c r="P53" s="2"/>
      <x:c r="Q53" s="2"/>
    </x:row>
    <x:row r="54" ht="22" customHeight="1">
      <x:c r="A54" s="2"/>
      <x:c r="B54" s="2"/>
      <x:c r="C54" s="13" t="str">
        <x:v>other growth | Active Selection</x:v>
      </x:c>
      <x:c r="D54" s="24" t="n">
        <x:f>CHOOSE($D$5,D55,D56,D57)</x:f>
        <x:v>0.025</x:v>
      </x:c>
      <x:c r="E54" s="24" t="n">
        <x:f>CHOOSE($D$5,E55,E56,E57)</x:f>
        <x:v>0.025</x:v>
      </x:c>
      <x:c r="F54" s="24" t="n">
        <x:f>CHOOSE($D$5,F55,F56,F57)</x:f>
        <x:v>0.025</x:v>
      </x:c>
      <x:c r="G54" s="24" t="n">
        <x:f>CHOOSE($D$5,G55,G56,G57)</x:f>
        <x:v>0.025</x:v>
      </x:c>
      <x:c r="H54" s="24" t="n">
        <x:f>CHOOSE($D$5,H55,H56,H57)</x:f>
        <x:v>0.025</x:v>
      </x:c>
      <x:c r="I54" s="3"/>
      <x:c r="J54" s="2"/>
      <x:c r="K54" s="2"/>
      <x:c r="L54" s="2"/>
      <x:c r="M54" s="2"/>
      <x:c r="N54" s="2"/>
      <x:c r="O54" s="2"/>
      <x:c r="P54" s="2"/>
      <x:c r="Q54" s="2"/>
    </x:row>
    <x:row r="55" ht="22" customHeight="1">
      <x:c r="A55" s="2"/>
      <x:c r="B55" s="2"/>
      <x:c r="C55" s="2" t="str">
        <x:v>Base</x:v>
      </x:c>
      <x:c r="D55" s="25" t="n">
        <x:v>0.025</x:v>
      </x:c>
      <x:c r="E55" s="25" t="n">
        <x:v>0.025</x:v>
      </x:c>
      <x:c r="F55" s="25" t="n">
        <x:v>0.025</x:v>
      </x:c>
      <x:c r="G55" s="25" t="n">
        <x:v>0.025</x:v>
      </x:c>
      <x:c r="H55" s="25" t="n">
        <x:v>0.025</x:v>
      </x:c>
      <x:c r="I55" s="3"/>
      <x:c r="J55" s="2"/>
      <x:c r="K55" s="2"/>
      <x:c r="L55" s="2"/>
      <x:c r="M55" s="2"/>
      <x:c r="N55" s="2"/>
      <x:c r="O55" s="2"/>
      <x:c r="P55" s="2"/>
      <x:c r="Q55" s="2"/>
    </x:row>
    <x:row r="56" ht="22" customHeight="1">
      <x:c r="A56" s="2"/>
      <x:c r="B56" s="2"/>
      <x:c r="C56" s="2" t="str">
        <x:v>Upside</x:v>
      </x:c>
      <x:c r="D56" s="25" t="n">
        <x:v>0.04</x:v>
      </x:c>
      <x:c r="E56" s="25" t="n">
        <x:v>0.04</x:v>
      </x:c>
      <x:c r="F56" s="25" t="n">
        <x:v>0.04</x:v>
      </x:c>
      <x:c r="G56" s="25" t="n">
        <x:v>0.04</x:v>
      </x:c>
      <x:c r="H56" s="25" t="n">
        <x:v>0.04</x:v>
      </x:c>
      <x:c r="I56" s="3"/>
      <x:c r="J56" s="2"/>
      <x:c r="K56" s="2"/>
      <x:c r="L56" s="2"/>
      <x:c r="M56" s="2"/>
      <x:c r="N56" s="2"/>
      <x:c r="O56" s="2"/>
      <x:c r="P56" s="2"/>
      <x:c r="Q56" s="2"/>
    </x:row>
    <x:row r="57" ht="22" customHeight="1">
      <x:c r="A57" s="2"/>
      <x:c r="B57" s="2"/>
      <x:c r="C57" s="2" t="str">
        <x:v>Downside</x:v>
      </x:c>
      <x:c r="D57" s="25" t="n">
        <x:v>-0.05</x:v>
      </x:c>
      <x:c r="E57" s="25" t="n">
        <x:v>-0.02</x:v>
      </x:c>
      <x:c r="F57" s="25" t="n">
        <x:v>0.02</x:v>
      </x:c>
      <x:c r="G57" s="25" t="n">
        <x:v>0.02</x:v>
      </x:c>
      <x:c r="H57" s="25" t="n">
        <x:v>0.02</x:v>
      </x:c>
      <x:c r="I57" s="3"/>
      <x:c r="J57" s="2"/>
      <x:c r="K57" s="2"/>
      <x:c r="L57" s="2"/>
      <x:c r="M57" s="2"/>
      <x:c r="N57" s="2"/>
      <x:c r="O57" s="2"/>
      <x:c r="P57" s="2"/>
      <x:c r="Q57" s="2"/>
    </x:row>
    <x:row r="58" ht="22" customHeight="1">
      <x:c r="A58" s="2"/>
      <x:c r="B58" s="2"/>
      <x:c r="C58" s="2"/>
      <x:c r="D58" s="3"/>
      <x:c r="E58" s="3"/>
      <x:c r="F58" s="3"/>
      <x:c r="G58" s="3"/>
      <x:c r="H58" s="3"/>
      <x:c r="I58" s="3"/>
      <x:c r="J58" s="2"/>
      <x:c r="K58" s="2"/>
      <x:c r="L58" s="2"/>
      <x:c r="M58" s="2"/>
      <x:c r="N58" s="2"/>
      <x:c r="O58" s="2"/>
      <x:c r="P58" s="2"/>
      <x:c r="Q58" s="2"/>
    </x:row>
    <x:row r="59" ht="22" customHeight="1">
      <x:c r="A59" s="2"/>
      <x:c r="B59" s="2"/>
      <x:c r="C59" s="13" t="str">
        <x:v>margin | Active Selection</x:v>
      </x:c>
      <x:c r="D59" s="24" t="n">
        <x:f>CHOOSE($D$5,D60,D61,D62)</x:f>
        <x:v>0.245</x:v>
      </x:c>
      <x:c r="E59" s="24" t="n">
        <x:f>CHOOSE($D$5,E60,E61,E62)</x:f>
        <x:v>0.255</x:v>
      </x:c>
      <x:c r="F59" s="24" t="n">
        <x:f>CHOOSE($D$5,F60,F61,F62)</x:f>
        <x:v>0.265</x:v>
      </x:c>
      <x:c r="G59" s="24" t="n">
        <x:f>CHOOSE($D$5,G60,G61,G62)</x:f>
        <x:v>0.27</x:v>
      </x:c>
      <x:c r="H59" s="24" t="n">
        <x:f>CHOOSE($D$5,H60,H61,H62)</x:f>
        <x:v>0.27</x:v>
      </x:c>
      <x:c r="I59" s="3"/>
      <x:c r="J59" s="2"/>
      <x:c r="K59" s="2"/>
      <x:c r="L59" s="2"/>
      <x:c r="M59" s="2"/>
      <x:c r="N59" s="2"/>
      <x:c r="O59" s="2"/>
      <x:c r="P59" s="2"/>
      <x:c r="Q59" s="2"/>
    </x:row>
    <x:row r="60" ht="22" customHeight="1">
      <x:c r="A60" s="2"/>
      <x:c r="B60" s="2"/>
      <x:c r="C60" s="2" t="str">
        <x:v>Base</x:v>
      </x:c>
      <x:c r="D60" s="25" t="n">
        <x:v>0.245</x:v>
      </x:c>
      <x:c r="E60" s="25" t="n">
        <x:v>0.255</x:v>
      </x:c>
      <x:c r="F60" s="25" t="n">
        <x:v>0.265</x:v>
      </x:c>
      <x:c r="G60" s="25" t="n">
        <x:v>0.27</x:v>
      </x:c>
      <x:c r="H60" s="25" t="n">
        <x:v>0.27</x:v>
      </x:c>
      <x:c r="I60" s="3"/>
      <x:c r="J60" s="2"/>
      <x:c r="K60" s="2"/>
      <x:c r="L60" s="2"/>
      <x:c r="M60" s="2"/>
      <x:c r="N60" s="2"/>
      <x:c r="O60" s="2"/>
      <x:c r="P60" s="2"/>
      <x:c r="Q60" s="2"/>
    </x:row>
    <x:row r="61" ht="22" customHeight="1">
      <x:c r="A61" s="2"/>
      <x:c r="B61" s="2"/>
      <x:c r="C61" s="2" t="str">
        <x:v>Upside</x:v>
      </x:c>
      <x:c r="D61" s="25" t="n">
        <x:v>0.26</x:v>
      </x:c>
      <x:c r="E61" s="25" t="n">
        <x:v>0.275</x:v>
      </x:c>
      <x:c r="F61" s="25" t="n">
        <x:v>0.285</x:v>
      </x:c>
      <x:c r="G61" s="25" t="n">
        <x:v>0.29</x:v>
      </x:c>
      <x:c r="H61" s="25" t="n">
        <x:v>0.29</x:v>
      </x:c>
      <x:c r="I61" s="3"/>
      <x:c r="J61" s="2"/>
      <x:c r="K61" s="2"/>
      <x:c r="L61" s="2"/>
      <x:c r="M61" s="2"/>
      <x:c r="N61" s="2"/>
      <x:c r="O61" s="2"/>
      <x:c r="P61" s="2"/>
      <x:c r="Q61" s="2"/>
    </x:row>
    <x:row r="62" ht="22" customHeight="1">
      <x:c r="A62" s="2"/>
      <x:c r="B62" s="2"/>
      <x:c r="C62" s="2" t="str">
        <x:v>Downside</x:v>
      </x:c>
      <x:c r="D62" s="25" t="n">
        <x:v>0.2</x:v>
      </x:c>
      <x:c r="E62" s="25" t="n">
        <x:v>0.185</x:v>
      </x:c>
      <x:c r="F62" s="25" t="n">
        <x:v>0.215</x:v>
      </x:c>
      <x:c r="G62" s="25" t="n">
        <x:v>0.23</x:v>
      </x:c>
      <x:c r="H62" s="25" t="n">
        <x:v>0.24</x:v>
      </x:c>
      <x:c r="I62" s="3"/>
      <x:c r="J62" s="2"/>
      <x:c r="K62" s="2"/>
      <x:c r="L62" s="2"/>
      <x:c r="M62" s="2"/>
      <x:c r="N62" s="2"/>
      <x:c r="O62" s="2"/>
      <x:c r="P62" s="2"/>
      <x:c r="Q62" s="2"/>
    </x:row>
    <x:row r="63" ht="22" customHeight="1">
      <x:c r="A63" s="2"/>
      <x:c r="B63" s="2"/>
      <x:c r="C63" s="2"/>
      <x:c r="D63" s="3"/>
      <x:c r="E63" s="3"/>
      <x:c r="F63" s="3"/>
      <x:c r="G63" s="3"/>
      <x:c r="H63" s="3"/>
      <x:c r="I63" s="3"/>
      <x:c r="J63" s="2"/>
      <x:c r="K63" s="2"/>
      <x:c r="L63" s="2"/>
      <x:c r="M63" s="2"/>
      <x:c r="N63" s="2"/>
      <x:c r="O63" s="2"/>
      <x:c r="P63" s="2"/>
      <x:c r="Q63" s="2"/>
    </x:row>
    <x:row r="64" ht="22" customHeight="1">
      <x:c r="A64" s="2"/>
      <x:c r="B64" s="2"/>
      <x:c r="C64" s="13" t="str">
        <x:v>capex pct | Active Selection</x:v>
      </x:c>
      <x:c r="D64" s="24" t="n">
        <x:f>CHOOSE($D$5,D65,D66,D67)</x:f>
        <x:v>0.11</x:v>
      </x:c>
      <x:c r="E64" s="24" t="n">
        <x:f>CHOOSE($D$5,E65,E66,E67)</x:f>
        <x:v>0.09</x:v>
      </x:c>
      <x:c r="F64" s="24" t="n">
        <x:f>CHOOSE($D$5,F65,F66,F67)</x:f>
        <x:v>0.075</x:v>
      </x:c>
      <x:c r="G64" s="24" t="n">
        <x:f>CHOOSE($D$5,G65,G66,G67)</x:f>
        <x:v>0.07</x:v>
      </x:c>
      <x:c r="H64" s="24" t="n">
        <x:f>CHOOSE($D$5,H65,H66,H67)</x:f>
        <x:v>0.07</x:v>
      </x:c>
      <x:c r="I64" s="3"/>
      <x:c r="J64" s="2"/>
      <x:c r="K64" s="2"/>
      <x:c r="L64" s="2"/>
      <x:c r="M64" s="2"/>
      <x:c r="N64" s="2"/>
      <x:c r="O64" s="2"/>
      <x:c r="P64" s="2"/>
      <x:c r="Q64" s="2"/>
    </x:row>
    <x:row r="65" ht="22" customHeight="1">
      <x:c r="A65" s="2"/>
      <x:c r="B65" s="2"/>
      <x:c r="C65" s="2" t="str">
        <x:v>Base</x:v>
      </x:c>
      <x:c r="D65" s="25" t="n">
        <x:v>0.11</x:v>
      </x:c>
      <x:c r="E65" s="25" t="n">
        <x:v>0.09</x:v>
      </x:c>
      <x:c r="F65" s="25" t="n">
        <x:v>0.075</x:v>
      </x:c>
      <x:c r="G65" s="25" t="n">
        <x:v>0.07</x:v>
      </x:c>
      <x:c r="H65" s="25" t="n">
        <x:v>0.07</x:v>
      </x:c>
      <x:c r="I65" s="3"/>
      <x:c r="J65" s="2"/>
      <x:c r="K65" s="2"/>
      <x:c r="L65" s="2"/>
      <x:c r="M65" s="2"/>
      <x:c r="N65" s="2"/>
      <x:c r="O65" s="2"/>
      <x:c r="P65" s="2"/>
      <x:c r="Q65" s="2"/>
    </x:row>
    <x:row r="66" ht="22" customHeight="1">
      <x:c r="A66" s="2"/>
      <x:c r="B66" s="2"/>
      <x:c r="C66" s="2" t="str">
        <x:v>Upside</x:v>
      </x:c>
      <x:c r="D66" s="25" t="n">
        <x:v>0.1</x:v>
      </x:c>
      <x:c r="E66" s="25" t="n">
        <x:v>0.085</x:v>
      </x:c>
      <x:c r="F66" s="25" t="n">
        <x:v>0.07</x:v>
      </x:c>
      <x:c r="G66" s="25" t="n">
        <x:v>0.065</x:v>
      </x:c>
      <x:c r="H66" s="25" t="n">
        <x:v>0.065</x:v>
      </x:c>
      <x:c r="I66" s="3"/>
      <x:c r="J66" s="2"/>
      <x:c r="K66" s="2"/>
      <x:c r="L66" s="2"/>
      <x:c r="M66" s="2"/>
      <x:c r="N66" s="2"/>
      <x:c r="O66" s="2"/>
      <x:c r="P66" s="2"/>
      <x:c r="Q66" s="2"/>
    </x:row>
    <x:row r="67" ht="22" customHeight="1">
      <x:c r="A67" s="2"/>
      <x:c r="B67" s="2"/>
      <x:c r="C67" s="2" t="str">
        <x:v>Downside</x:v>
      </x:c>
      <x:c r="D67" s="25" t="n">
        <x:v>0.11</x:v>
      </x:c>
      <x:c r="E67" s="25" t="n">
        <x:v>0.1</x:v>
      </x:c>
      <x:c r="F67" s="25" t="n">
        <x:v>0.08</x:v>
      </x:c>
      <x:c r="G67" s="25" t="n">
        <x:v>0.075</x:v>
      </x:c>
      <x:c r="H67" s="25" t="n">
        <x:v>0.075</x:v>
      </x:c>
      <x:c r="I67" s="3"/>
      <x:c r="J67" s="2"/>
      <x:c r="K67" s="2"/>
      <x:c r="L67" s="2"/>
      <x:c r="M67" s="2"/>
      <x:c r="N67" s="2"/>
      <x:c r="O67" s="2"/>
      <x:c r="P67" s="2"/>
      <x:c r="Q67" s="2"/>
    </x:row>
    <x:row r="68" ht="22" customHeight="1">
      <x:c r="A68" s="2"/>
      <x:c r="B68" s="2"/>
      <x:c r="C68" s="2"/>
      <x:c r="D68" s="3"/>
      <x:c r="E68" s="3"/>
      <x:c r="F68" s="3"/>
      <x:c r="G68" s="3"/>
      <x:c r="H68" s="3"/>
      <x:c r="I68" s="3"/>
      <x:c r="J68" s="2"/>
      <x:c r="K68" s="2"/>
      <x:c r="L68" s="2"/>
      <x:c r="M68" s="2"/>
      <x:c r="N68" s="2"/>
      <x:c r="O68" s="2"/>
      <x:c r="P68" s="2"/>
      <x:c r="Q68" s="2"/>
    </x:row>
    <x:row r="69" ht="22" customHeight="1">
      <x:c r="A69" s="2"/>
      <x:c r="B69" s="2"/>
      <x:c r="C69" s="13" t="str">
        <x:v>nwc pct | Active Selection</x:v>
      </x:c>
      <x:c r="D69" s="24" t="n">
        <x:f>CHOOSE($D$5,D70,D71,D72)</x:f>
        <x:v>-0.06</x:v>
      </x:c>
      <x:c r="E69" s="24" t="n">
        <x:f>CHOOSE($D$5,E70,E71,E72)</x:f>
        <x:v>-0.06</x:v>
      </x:c>
      <x:c r="F69" s="24" t="n">
        <x:f>CHOOSE($D$5,F70,F71,F72)</x:f>
        <x:v>-0.06</x:v>
      </x:c>
      <x:c r="G69" s="24" t="n">
        <x:f>CHOOSE($D$5,G70,G71,G72)</x:f>
        <x:v>-0.06</x:v>
      </x:c>
      <x:c r="H69" s="24" t="n">
        <x:f>CHOOSE($D$5,H70,H71,H72)</x:f>
        <x:v>-0.06</x:v>
      </x:c>
      <x:c r="I69" s="3"/>
      <x:c r="J69" s="2"/>
      <x:c r="K69" s="2"/>
      <x:c r="L69" s="2"/>
      <x:c r="M69" s="2"/>
      <x:c r="N69" s="2"/>
      <x:c r="O69" s="2"/>
      <x:c r="P69" s="2"/>
      <x:c r="Q69" s="2"/>
    </x:row>
    <x:row r="70" ht="22" customHeight="1">
      <x:c r="A70" s="2"/>
      <x:c r="B70" s="2"/>
      <x:c r="C70" s="2" t="str">
        <x:v>Base</x:v>
      </x:c>
      <x:c r="D70" s="25" t="n">
        <x:v>-0.06</x:v>
      </x:c>
      <x:c r="E70" s="25" t="n">
        <x:v>-0.06</x:v>
      </x:c>
      <x:c r="F70" s="25" t="n">
        <x:v>-0.06</x:v>
      </x:c>
      <x:c r="G70" s="25" t="n">
        <x:v>-0.06</x:v>
      </x:c>
      <x:c r="H70" s="25" t="n">
        <x:v>-0.06</x:v>
      </x:c>
      <x:c r="I70" s="3"/>
      <x:c r="J70" s="2"/>
      <x:c r="K70" s="2"/>
      <x:c r="L70" s="2"/>
      <x:c r="M70" s="2"/>
      <x:c r="N70" s="2"/>
      <x:c r="O70" s="2"/>
      <x:c r="P70" s="2"/>
      <x:c r="Q70" s="2"/>
    </x:row>
    <x:row r="71" ht="22" customHeight="1">
      <x:c r="A71" s="2"/>
      <x:c r="B71" s="2"/>
      <x:c r="C71" s="2" t="str">
        <x:v>Upside</x:v>
      </x:c>
      <x:c r="D71" s="25" t="n">
        <x:v>-0.06</x:v>
      </x:c>
      <x:c r="E71" s="25" t="n">
        <x:v>-0.06</x:v>
      </x:c>
      <x:c r="F71" s="25" t="n">
        <x:v>-0.06</x:v>
      </x:c>
      <x:c r="G71" s="25" t="n">
        <x:v>-0.06</x:v>
      </x:c>
      <x:c r="H71" s="25" t="n">
        <x:v>-0.06</x:v>
      </x:c>
      <x:c r="I71" s="3"/>
      <x:c r="J71" s="2"/>
      <x:c r="K71" s="2"/>
      <x:c r="L71" s="2"/>
      <x:c r="M71" s="2"/>
      <x:c r="N71" s="2"/>
      <x:c r="O71" s="2"/>
      <x:c r="P71" s="2"/>
      <x:c r="Q71" s="2"/>
    </x:row>
    <x:row r="72" ht="22" customHeight="1">
      <x:c r="A72" s="2"/>
      <x:c r="B72" s="2"/>
      <x:c r="C72" s="2" t="str">
        <x:v>Downside</x:v>
      </x:c>
      <x:c r="D72" s="25" t="n">
        <x:v>-0.05</x:v>
      </x:c>
      <x:c r="E72" s="25" t="n">
        <x:v>-0.05</x:v>
      </x:c>
      <x:c r="F72" s="25" t="n">
        <x:v>-0.05</x:v>
      </x:c>
      <x:c r="G72" s="25" t="n">
        <x:v>-0.05</x:v>
      </x:c>
      <x:c r="H72" s="25" t="n">
        <x:v>-0.05</x:v>
      </x:c>
      <x:c r="I72" s="3"/>
      <x:c r="J72" s="2"/>
      <x:c r="K72" s="2"/>
      <x:c r="L72" s="2"/>
      <x:c r="M72" s="2"/>
      <x:c r="N72" s="2"/>
      <x:c r="O72" s="2"/>
      <x:c r="P72" s="2"/>
      <x:c r="Q72" s="2"/>
    </x:row>
    <x:row r="73" ht="22" customHeight="1">
      <x:c r="A73" s="2"/>
      <x:c r="B73" s="2"/>
      <x:c r="C73" s="2"/>
      <x:c r="D73" s="3"/>
      <x:c r="E73" s="3"/>
      <x:c r="F73" s="3"/>
      <x:c r="G73" s="3"/>
      <x:c r="H73" s="3"/>
      <x:c r="I73" s="3"/>
      <x:c r="J73" s="2"/>
      <x:c r="K73" s="2"/>
      <x:c r="L73" s="2"/>
      <x:c r="M73" s="2"/>
      <x:c r="N73" s="2"/>
      <x:c r="O73" s="2"/>
      <x:c r="P73" s="2"/>
      <x:c r="Q73" s="2"/>
    </x:row>
    <x:row r="74" ht="22" customHeight="1">
      <x:c r="A74" s="2"/>
      <x:c r="B74" s="2"/>
      <x:c r="C74" s="13" t="str">
        <x:v>rate shock | Active Selection</x:v>
      </x:c>
      <x:c r="D74" s="24" t="n">
        <x:f>CHOOSE($D$5,D75,D76,D77)</x:f>
        <x:v>0</x:v>
      </x:c>
      <x:c r="E74" s="24" t="n">
        <x:f>CHOOSE($D$5,E75,E76,E77)</x:f>
        <x:v>0</x:v>
      </x:c>
      <x:c r="F74" s="24" t="n">
        <x:f>CHOOSE($D$5,F75,F76,F77)</x:f>
        <x:v>0</x:v>
      </x:c>
      <x:c r="G74" s="24" t="n">
        <x:f>CHOOSE($D$5,G75,G76,G77)</x:f>
        <x:v>0</x:v>
      </x:c>
      <x:c r="H74" s="24" t="n">
        <x:f>CHOOSE($D$5,H75,H76,H77)</x:f>
        <x:v>0</x:v>
      </x:c>
      <x:c r="I74" s="3"/>
      <x:c r="J74" s="2"/>
      <x:c r="K74" s="2"/>
      <x:c r="L74" s="2"/>
      <x:c r="M74" s="2"/>
      <x:c r="N74" s="2"/>
      <x:c r="O74" s="2"/>
      <x:c r="P74" s="2"/>
      <x:c r="Q74" s="2"/>
    </x:row>
    <x:row r="75" ht="22" customHeight="1">
      <x:c r="A75" s="2"/>
      <x:c r="B75" s="2"/>
      <x:c r="C75" s="2" t="str">
        <x:v>Base</x:v>
      </x:c>
      <x:c r="D75" s="25" t="n">
        <x:v>0</x:v>
      </x:c>
      <x:c r="E75" s="25" t="n">
        <x:v>0</x:v>
      </x:c>
      <x:c r="F75" s="25" t="n">
        <x:v>0</x:v>
      </x:c>
      <x:c r="G75" s="25" t="n">
        <x:v>0</x:v>
      </x:c>
      <x:c r="H75" s="25" t="n">
        <x:v>0</x:v>
      </x:c>
      <x:c r="I75" s="3"/>
      <x:c r="J75" s="2"/>
      <x:c r="K75" s="2"/>
      <x:c r="L75" s="2"/>
      <x:c r="M75" s="2"/>
      <x:c r="N75" s="2"/>
      <x:c r="O75" s="2"/>
      <x:c r="P75" s="2"/>
      <x:c r="Q75" s="2"/>
    </x:row>
    <x:row r="76" ht="22" customHeight="1">
      <x:c r="A76" s="2"/>
      <x:c r="B76" s="2"/>
      <x:c r="C76" s="2" t="str">
        <x:v>Upside</x:v>
      </x:c>
      <x:c r="D76" s="25" t="n">
        <x:v>-0.005</x:v>
      </x:c>
      <x:c r="E76" s="25" t="n">
        <x:v>-0.005</x:v>
      </x:c>
      <x:c r="F76" s="25" t="n">
        <x:v>-0.005</x:v>
      </x:c>
      <x:c r="G76" s="25" t="n">
        <x:v>-0.005</x:v>
      </x:c>
      <x:c r="H76" s="25" t="n">
        <x:v>-0.005</x:v>
      </x:c>
      <x:c r="I76" s="3"/>
      <x:c r="J76" s="2"/>
      <x:c r="K76" s="2"/>
      <x:c r="L76" s="2"/>
      <x:c r="M76" s="2"/>
      <x:c r="N76" s="2"/>
      <x:c r="O76" s="2"/>
      <x:c r="P76" s="2"/>
      <x:c r="Q76" s="2"/>
    </x:row>
    <x:row r="77" ht="22" customHeight="1">
      <x:c r="A77" s="2"/>
      <x:c r="B77" s="2"/>
      <x:c r="C77" s="2" t="str">
        <x:v>Downside</x:v>
      </x:c>
      <x:c r="D77" s="25" t="n">
        <x:v>0.02</x:v>
      </x:c>
      <x:c r="E77" s="25" t="n">
        <x:v>0.02</x:v>
      </x:c>
      <x:c r="F77" s="25" t="n">
        <x:v>0.02</x:v>
      </x:c>
      <x:c r="G77" s="25" t="n">
        <x:v>0.02</x:v>
      </x:c>
      <x:c r="H77" s="25" t="n">
        <x:v>0.02</x:v>
      </x:c>
      <x:c r="I77" s="3"/>
      <x:c r="J77" s="2"/>
      <x:c r="K77" s="2"/>
      <x:c r="L77" s="2"/>
      <x:c r="M77" s="2"/>
      <x:c r="N77" s="2"/>
      <x:c r="O77" s="2"/>
      <x:c r="P77" s="2"/>
      <x:c r="Q77" s="2"/>
    </x:row>
    <x:row r="78" ht="22" customHeight="1">
      <x:c r="A78" s="2"/>
      <x:c r="B78" s="2"/>
      <x:c r="C78" s="2"/>
      <x:c r="D78" s="3"/>
      <x:c r="E78" s="3"/>
      <x:c r="F78" s="3"/>
      <x:c r="G78" s="3"/>
      <x:c r="H78" s="3"/>
      <x:c r="I78" s="3"/>
      <x:c r="J78" s="2"/>
      <x:c r="K78" s="2"/>
      <x:c r="L78" s="2"/>
      <x:c r="M78" s="2"/>
      <x:c r="N78" s="2"/>
      <x:c r="O78" s="2"/>
      <x:c r="P78" s="2"/>
      <x:c r="Q78" s="2"/>
    </x:row>
    <x:row r="79" ht="22" customHeight="1">
      <x:c r="A79" s="2"/>
      <x:c r="B79" s="2"/>
      <x:c r="C79" s="13" t="str">
        <x:v>insured event | Active Selection</x:v>
      </x:c>
      <x:c r="D79" s="21" t="n">
        <x:f>CHOOSE($D$5,D80,D81,D82)</x:f>
        <x:v>0</x:v>
      </x:c>
      <x:c r="E79" s="21" t="n">
        <x:f>CHOOSE($D$5,E80,E81,E82)</x:f>
        <x:v>0</x:v>
      </x:c>
      <x:c r="F79" s="21" t="n">
        <x:f>CHOOSE($D$5,F80,F81,F82)</x:f>
        <x:v>0</x:v>
      </x:c>
      <x:c r="G79" s="21" t="n">
        <x:f>CHOOSE($D$5,G80,G81,G82)</x:f>
        <x:v>0</x:v>
      </x:c>
      <x:c r="H79" s="21" t="n">
        <x:f>CHOOSE($D$5,H80,H81,H82)</x:f>
        <x:v>0</x:v>
      </x:c>
      <x:c r="I79" s="3"/>
      <x:c r="J79" s="2"/>
      <x:c r="K79" s="2"/>
      <x:c r="L79" s="2"/>
      <x:c r="M79" s="2"/>
      <x:c r="N79" s="2"/>
      <x:c r="O79" s="2"/>
      <x:c r="P79" s="2"/>
      <x:c r="Q79" s="2"/>
    </x:row>
    <x:row r="80" ht="22" customHeight="1">
      <x:c r="A80" s="2"/>
      <x:c r="B80" s="2"/>
      <x:c r="C80" s="2" t="str">
        <x:v>Base</x:v>
      </x:c>
      <x:c r="D80" s="10" t="n">
        <x:v>0</x:v>
      </x:c>
      <x:c r="E80" s="10" t="n">
        <x:v>0</x:v>
      </x:c>
      <x:c r="F80" s="10" t="n">
        <x:v>0</x:v>
      </x:c>
      <x:c r="G80" s="10" t="n">
        <x:v>0</x:v>
      </x:c>
      <x:c r="H80" s="10" t="n">
        <x:v>0</x:v>
      </x:c>
      <x:c r="I80" s="3"/>
      <x:c r="J80" s="2"/>
      <x:c r="K80" s="2"/>
      <x:c r="L80" s="2"/>
      <x:c r="M80" s="2"/>
      <x:c r="N80" s="2"/>
      <x:c r="O80" s="2"/>
      <x:c r="P80" s="2"/>
      <x:c r="Q80" s="2"/>
    </x:row>
    <x:row r="81" ht="22" customHeight="1">
      <x:c r="A81" s="2"/>
      <x:c r="B81" s="2"/>
      <x:c r="C81" s="2" t="str">
        <x:v>Upside</x:v>
      </x:c>
      <x:c r="D81" s="10" t="n">
        <x:v>0</x:v>
      </x:c>
      <x:c r="E81" s="10" t="n">
        <x:v>0</x:v>
      </x:c>
      <x:c r="F81" s="10" t="n">
        <x:v>0</x:v>
      </x:c>
      <x:c r="G81" s="10" t="n">
        <x:v>0</x:v>
      </x:c>
      <x:c r="H81" s="10" t="n">
        <x:v>0</x:v>
      </x:c>
      <x:c r="I81" s="3"/>
      <x:c r="J81" s="2"/>
      <x:c r="K81" s="2"/>
      <x:c r="L81" s="2"/>
      <x:c r="M81" s="2"/>
      <x:c r="N81" s="2"/>
      <x:c r="O81" s="2"/>
      <x:c r="P81" s="2"/>
      <x:c r="Q81" s="2"/>
    </x:row>
    <x:row r="82" ht="22" customHeight="1">
      <x:c r="A82" s="2"/>
      <x:c r="B82" s="2"/>
      <x:c r="C82" s="2" t="str">
        <x:v>Downside</x:v>
      </x:c>
      <x:c r="D82" s="10" t="n">
        <x:v>0</x:v>
      </x:c>
      <x:c r="E82" s="10" t="n">
        <x:v>1</x:v>
      </x:c>
      <x:c r="F82" s="10" t="n">
        <x:v>0</x:v>
      </x:c>
      <x:c r="G82" s="10" t="n">
        <x:v>0</x:v>
      </x:c>
      <x:c r="H82" s="10" t="n">
        <x:v>0</x:v>
      </x:c>
      <x:c r="I82" s="3"/>
      <x:c r="J82" s="2"/>
      <x:c r="K82" s="2"/>
      <x:c r="L82" s="2"/>
      <x:c r="M82" s="2"/>
      <x:c r="N82" s="2"/>
      <x:c r="O82" s="2"/>
      <x:c r="P82" s="2"/>
      <x:c r="Q82" s="2"/>
    </x:row>
    <x:row r="83" ht="22" customHeight="1">
      <x:c r="A83" s="2"/>
      <x:c r="B83" s="2"/>
      <x:c r="C83" s="2"/>
      <x:c r="D83" s="3"/>
      <x:c r="E83" s="3"/>
      <x:c r="F83" s="3"/>
      <x:c r="G83" s="3"/>
      <x:c r="H83" s="3"/>
      <x:c r="I83" s="3"/>
      <x:c r="J83" s="2"/>
      <x:c r="K83" s="2"/>
      <x:c r="L83" s="2"/>
      <x:c r="M83" s="2"/>
      <x:c r="N83" s="2"/>
      <x:c r="O83" s="2"/>
      <x:c r="P83" s="2"/>
      <x:c r="Q83" s="2"/>
    </x:row>
    <x:row r="84" ht="22" customHeight="1">
      <x:c r="A84" s="2"/>
      <x:c r="B84" s="2"/>
      <x:c r="C84" s="2"/>
      <x:c r="D84" s="3"/>
      <x:c r="E84" s="3"/>
      <x:c r="F84" s="3"/>
      <x:c r="G84" s="3"/>
      <x:c r="H84" s="3"/>
      <x:c r="I84" s="3"/>
      <x:c r="J84" s="2"/>
      <x:c r="K84" s="2"/>
      <x:c r="L84" s="2"/>
      <x:c r="M84" s="2"/>
      <x:c r="N84" s="2"/>
      <x:c r="O84" s="2"/>
      <x:c r="P84" s="2"/>
      <x:c r="Q84" s="2"/>
    </x:row>
    <x:row r="85" ht="22" customHeight="1">
      <x:c r="A85" s="2"/>
      <x:c r="B85" s="2"/>
      <x:c r="C85" s="2"/>
      <x:c r="D85" s="3"/>
      <x:c r="E85" s="3"/>
      <x:c r="F85" s="3"/>
      <x:c r="G85" s="3"/>
      <x:c r="H85" s="3"/>
      <x:c r="I85" s="3"/>
      <x:c r="J85" s="2"/>
      <x:c r="K85" s="2"/>
      <x:c r="L85" s="2"/>
      <x:c r="M85" s="2"/>
      <x:c r="N85" s="2"/>
      <x:c r="O85" s="2"/>
      <x:c r="P85" s="2"/>
      <x:c r="Q85" s="2"/>
    </x:row>
    <x:row r="86" ht="22" customHeight="1">
      <x:c r="A86" s="2"/>
      <x:c r="B86" s="2"/>
      <x:c r="C86" s="2"/>
      <x:c r="D86" s="3"/>
      <x:c r="E86" s="3"/>
      <x:c r="F86" s="3"/>
      <x:c r="G86" s="3"/>
      <x:c r="H86" s="3"/>
      <x:c r="I86" s="3"/>
      <x:c r="J86" s="2"/>
      <x:c r="K86" s="2"/>
      <x:c r="L86" s="2"/>
      <x:c r="M86" s="2"/>
      <x:c r="N86" s="2"/>
      <x:c r="O86" s="2"/>
      <x:c r="P86" s="2"/>
      <x:c r="Q86" s="2"/>
    </x:row>
    <x:row r="87" ht="22" customHeight="1">
      <x:c r="A87" s="2"/>
      <x:c r="B87" s="2"/>
      <x:c r="C87" s="2"/>
      <x:c r="D87" s="3"/>
      <x:c r="E87" s="3"/>
      <x:c r="F87" s="3"/>
      <x:c r="G87" s="3"/>
      <x:c r="H87" s="3"/>
      <x:c r="I87" s="3"/>
      <x:c r="J87" s="2"/>
      <x:c r="K87" s="2"/>
      <x:c r="L87" s="2"/>
      <x:c r="M87" s="2"/>
      <x:c r="N87" s="2"/>
      <x:c r="O87" s="2"/>
      <x:c r="P87" s="2"/>
      <x:c r="Q87" s="2"/>
    </x:row>
    <x:row r="88" ht="22" customHeight="1">
      <x:c r="A88" s="2"/>
      <x:c r="B88" s="2"/>
      <x:c r="C88" s="2"/>
      <x:c r="D88" s="3"/>
      <x:c r="E88" s="3"/>
      <x:c r="F88" s="3"/>
      <x:c r="G88" s="3"/>
      <x:c r="H88" s="3"/>
      <x:c r="I88" s="3"/>
      <x:c r="J88" s="2"/>
      <x:c r="K88" s="2"/>
      <x:c r="L88" s="2"/>
      <x:c r="M88" s="2"/>
      <x:c r="N88" s="2"/>
      <x:c r="O88" s="2"/>
      <x:c r="P88" s="2"/>
      <x:c r="Q88" s="2"/>
    </x:row>
    <x:row r="89" ht="22" customHeight="1">
      <x:c r="A89" s="2"/>
      <x:c r="B89" s="2"/>
      <x:c r="C89" s="2"/>
      <x:c r="D89" s="3"/>
      <x:c r="E89" s="3"/>
      <x:c r="F89" s="3"/>
      <x:c r="G89" s="3"/>
      <x:c r="H89" s="3"/>
      <x:c r="I89" s="3"/>
      <x:c r="J89" s="2"/>
      <x:c r="K89" s="2"/>
      <x:c r="L89" s="2"/>
      <x:c r="M89" s="2"/>
      <x:c r="N89" s="2"/>
      <x:c r="O89" s="2"/>
      <x:c r="P89" s="2"/>
      <x:c r="Q89" s="2"/>
    </x:row>
    <x:row r="90" ht="22" customHeight="1">
      <x:c r="A90" s="2"/>
      <x:c r="B90" s="2"/>
      <x:c r="C90" s="2"/>
      <x:c r="D90" s="3"/>
      <x:c r="E90" s="3"/>
      <x:c r="F90" s="3"/>
      <x:c r="G90" s="3"/>
      <x:c r="H90" s="3"/>
      <x:c r="I90" s="3"/>
      <x:c r="J90" s="2"/>
      <x:c r="K90" s="2"/>
      <x:c r="L90" s="2"/>
      <x:c r="M90" s="2"/>
      <x:c r="N90" s="2"/>
      <x:c r="O90" s="2"/>
      <x:c r="P90" s="2"/>
      <x:c r="Q90" s="2"/>
    </x:row>
    <x:row r="91" ht="22" customHeight="1">
      <x:c r="A91" s="2"/>
      <x:c r="B91" s="2"/>
      <x:c r="C91" s="2"/>
      <x:c r="D91" s="3"/>
      <x:c r="E91" s="3"/>
      <x:c r="F91" s="3"/>
      <x:c r="G91" s="3"/>
      <x:c r="H91" s="3"/>
      <x:c r="I91" s="3"/>
      <x:c r="J91" s="2"/>
      <x:c r="K91" s="2"/>
      <x:c r="L91" s="2"/>
      <x:c r="M91" s="2"/>
      <x:c r="N91" s="2"/>
      <x:c r="O91" s="2"/>
      <x:c r="P91" s="2"/>
      <x:c r="Q91" s="2"/>
    </x:row>
    <x:row r="92" ht="22" customHeight="1">
      <x:c r="A92" s="2"/>
      <x:c r="B92" s="2"/>
      <x:c r="C92" s="2"/>
      <x:c r="D92" s="3"/>
      <x:c r="E92" s="3"/>
      <x:c r="F92" s="3"/>
      <x:c r="G92" s="3"/>
      <x:c r="H92" s="3"/>
      <x:c r="I92" s="3"/>
      <x:c r="J92" s="2"/>
      <x:c r="K92" s="2"/>
      <x:c r="L92" s="2"/>
      <x:c r="M92" s="2"/>
      <x:c r="N92" s="2"/>
      <x:c r="O92" s="2"/>
      <x:c r="P92" s="2"/>
      <x:c r="Q92" s="2"/>
    </x:row>
    <x:row r="93" ht="22" customHeight="1">
      <x:c r="A93" s="2"/>
      <x:c r="B93" s="2"/>
      <x:c r="C93" s="2"/>
      <x:c r="D93" s="3"/>
      <x:c r="E93" s="3"/>
      <x:c r="F93" s="3"/>
      <x:c r="G93" s="3"/>
      <x:c r="H93" s="3"/>
      <x:c r="I93" s="3"/>
      <x:c r="J93" s="2"/>
      <x:c r="K93" s="2"/>
      <x:c r="L93" s="2"/>
      <x:c r="M93" s="2"/>
      <x:c r="N93" s="2"/>
      <x:c r="O93" s="2"/>
      <x:c r="P93" s="2"/>
      <x:c r="Q93" s="2"/>
    </x:row>
    <x:row r="94" ht="22" customHeight="1">
      <x:c r="A94" s="2"/>
      <x:c r="B94" s="2"/>
      <x:c r="C94" s="2"/>
      <x:c r="D94" s="3"/>
      <x:c r="E94" s="3"/>
      <x:c r="F94" s="3"/>
      <x:c r="G94" s="3"/>
      <x:c r="H94" s="3"/>
      <x:c r="I94" s="3"/>
      <x:c r="J94" s="2"/>
      <x:c r="K94" s="2"/>
      <x:c r="L94" s="2"/>
      <x:c r="M94" s="2"/>
      <x:c r="N94" s="2"/>
      <x:c r="O94" s="2"/>
      <x:c r="P94" s="2"/>
      <x:c r="Q94" s="2"/>
    </x:row>
    <x:row r="95" ht="22" customHeight="1">
      <x:c r="A95" s="2"/>
      <x:c r="B95" s="2"/>
      <x:c r="C95" s="2"/>
      <x:c r="D95" s="3"/>
      <x:c r="E95" s="3"/>
      <x:c r="F95" s="3"/>
      <x:c r="G95" s="3"/>
      <x:c r="H95" s="3"/>
      <x:c r="I95" s="3"/>
      <x:c r="J95" s="2"/>
      <x:c r="K95" s="2"/>
      <x:c r="L95" s="2"/>
      <x:c r="M95" s="2"/>
      <x:c r="N95" s="2"/>
      <x:c r="O95" s="2"/>
      <x:c r="P95" s="2"/>
      <x:c r="Q95" s="2"/>
    </x:row>
    <x:row r="96" ht="22" customHeight="1">
      <x:c r="A96" s="2"/>
      <x:c r="B96" s="2"/>
      <x:c r="C96" s="2"/>
      <x:c r="D96" s="3"/>
      <x:c r="E96" s="3"/>
      <x:c r="F96" s="3"/>
      <x:c r="G96" s="3"/>
      <x:c r="H96" s="3"/>
      <x:c r="I96" s="3"/>
      <x:c r="J96" s="2"/>
      <x:c r="K96" s="2"/>
      <x:c r="L96" s="2"/>
      <x:c r="M96" s="2"/>
      <x:c r="N96" s="2"/>
      <x:c r="O96" s="2"/>
      <x:c r="P96" s="2"/>
      <x:c r="Q96" s="2"/>
    </x:row>
    <x:row r="97" ht="22" customHeight="1">
      <x:c r="A97" s="2"/>
      <x:c r="B97" s="2"/>
      <x:c r="C97" s="2"/>
      <x:c r="D97" s="3"/>
      <x:c r="E97" s="3"/>
      <x:c r="F97" s="3"/>
      <x:c r="G97" s="3"/>
      <x:c r="H97" s="3"/>
      <x:c r="I97" s="3"/>
      <x:c r="J97" s="2"/>
      <x:c r="K97" s="2"/>
      <x:c r="L97" s="2"/>
      <x:c r="M97" s="2"/>
      <x:c r="N97" s="2"/>
      <x:c r="O97" s="2"/>
      <x:c r="P97" s="2"/>
      <x:c r="Q97" s="2"/>
    </x:row>
    <x:row r="98" ht="22" customHeight="1">
      <x:c r="A98" s="2"/>
      <x:c r="B98" s="2"/>
      <x:c r="C98" s="2"/>
      <x:c r="D98" s="3"/>
      <x:c r="E98" s="3"/>
      <x:c r="F98" s="3"/>
      <x:c r="G98" s="3"/>
      <x:c r="H98" s="3"/>
      <x:c r="I98" s="3"/>
      <x:c r="J98" s="2"/>
      <x:c r="K98" s="2"/>
      <x:c r="L98" s="2"/>
      <x:c r="M98" s="2"/>
      <x:c r="N98" s="2"/>
      <x:c r="O98" s="2"/>
      <x:c r="P98" s="2"/>
      <x:c r="Q98" s="2"/>
    </x:row>
    <x:row r="99" ht="22" customHeight="1">
      <x:c r="A99" s="2"/>
      <x:c r="B99" s="2"/>
      <x:c r="C99" s="2"/>
      <x:c r="D99" s="3"/>
      <x:c r="E99" s="3"/>
      <x:c r="F99" s="3"/>
      <x:c r="G99" s="3"/>
      <x:c r="H99" s="3"/>
      <x:c r="I99" s="3"/>
      <x:c r="J99" s="2"/>
      <x:c r="K99" s="2"/>
      <x:c r="L99" s="2"/>
      <x:c r="M99" s="2"/>
      <x:c r="N99" s="2"/>
      <x:c r="O99" s="2"/>
      <x:c r="P99" s="2"/>
      <x:c r="Q99" s="2"/>
    </x:row>
    <x:row r="100" ht="22" customHeight="1">
      <x:c r="A100" s="2"/>
      <x:c r="B100" s="2"/>
      <x:c r="C100" s="2"/>
      <x:c r="D100" s="3"/>
      <x:c r="E100" s="3"/>
      <x:c r="F100" s="3"/>
      <x:c r="G100" s="3"/>
      <x:c r="H100" s="3"/>
      <x:c r="I100" s="3"/>
      <x:c r="J100" s="2"/>
      <x:c r="K100" s="2"/>
      <x:c r="L100" s="2"/>
      <x:c r="M100" s="2"/>
      <x:c r="N100" s="2"/>
      <x:c r="O100" s="2"/>
      <x:c r="P100" s="2"/>
      <x:c r="Q100" s="2"/>
    </x:row>
    <x:row r="101" ht="22" customHeight="1">
      <x:c r="A101" s="2"/>
      <x:c r="B101" s="2"/>
      <x:c r="C101" s="2"/>
      <x:c r="D101" s="3"/>
      <x:c r="E101" s="3"/>
      <x:c r="F101" s="3"/>
      <x:c r="G101" s="3"/>
      <x:c r="H101" s="3"/>
      <x:c r="I101" s="3"/>
      <x:c r="J101" s="2"/>
      <x:c r="K101" s="2"/>
      <x:c r="L101" s="2"/>
      <x:c r="M101" s="2"/>
      <x:c r="N101" s="2"/>
      <x:c r="O101" s="2"/>
      <x:c r="P101" s="2"/>
      <x:c r="Q101" s="2"/>
    </x:row>
    <x:row r="102" ht="22" customHeight="1">
      <x:c r="A102" s="2"/>
      <x:c r="B102" s="2"/>
      <x:c r="C102" s="2"/>
      <x:c r="D102" s="3"/>
      <x:c r="E102" s="3"/>
      <x:c r="F102" s="3"/>
      <x:c r="G102" s="3"/>
      <x:c r="H102" s="3"/>
      <x:c r="I102" s="3"/>
      <x:c r="J102" s="2"/>
      <x:c r="K102" s="2"/>
      <x:c r="L102" s="2"/>
      <x:c r="M102" s="2"/>
      <x:c r="N102" s="2"/>
      <x:c r="O102" s="2"/>
      <x:c r="P102" s="2"/>
      <x:c r="Q102" s="2"/>
    </x:row>
    <x:row r="103" ht="22" customHeight="1">
      <x:c r="A103" s="2"/>
      <x:c r="B103" s="2"/>
      <x:c r="C103" s="2"/>
      <x:c r="D103" s="3"/>
      <x:c r="E103" s="3"/>
      <x:c r="F103" s="3"/>
      <x:c r="G103" s="3"/>
      <x:c r="H103" s="3"/>
      <x:c r="I103" s="3"/>
      <x:c r="J103" s="2"/>
      <x:c r="K103" s="2"/>
      <x:c r="L103" s="2"/>
      <x:c r="M103" s="2"/>
      <x:c r="N103" s="2"/>
      <x:c r="O103" s="2"/>
      <x:c r="P103" s="2"/>
      <x:c r="Q103" s="2"/>
    </x:row>
    <x:row r="104" ht="22" customHeight="1">
      <x:c r="A104" s="2"/>
      <x:c r="B104" s="2"/>
      <x:c r="C104" s="2"/>
      <x:c r="D104" s="3"/>
      <x:c r="E104" s="3"/>
      <x:c r="F104" s="3"/>
      <x:c r="G104" s="3"/>
      <x:c r="H104" s="3"/>
      <x:c r="I104" s="3"/>
      <x:c r="J104" s="2"/>
      <x:c r="K104" s="2"/>
      <x:c r="L104" s="2"/>
      <x:c r="M104" s="2"/>
      <x:c r="N104" s="2"/>
      <x:c r="O104" s="2"/>
      <x:c r="P104" s="2"/>
      <x:c r="Q104" s="2"/>
    </x:row>
    <x:row r="105" ht="22" customHeight="1">
      <x:c r="A105" s="2"/>
      <x:c r="B105" s="2"/>
      <x:c r="C105" s="2"/>
      <x:c r="D105" s="3"/>
      <x:c r="E105" s="3"/>
      <x:c r="F105" s="3"/>
      <x:c r="G105" s="3"/>
      <x:c r="H105" s="3"/>
      <x:c r="I105" s="3"/>
      <x:c r="J105" s="2"/>
      <x:c r="K105" s="2"/>
      <x:c r="L105" s="2"/>
      <x:c r="M105" s="2"/>
      <x:c r="N105" s="2"/>
      <x:c r="O105" s="2"/>
      <x:c r="P105" s="2"/>
      <x:c r="Q105" s="2"/>
    </x:row>
    <x:row r="106" ht="22" customHeight="1">
      <x:c r="A106" s="2"/>
      <x:c r="B106" s="2"/>
      <x:c r="C106" s="2"/>
      <x:c r="D106" s="3"/>
      <x:c r="E106" s="3"/>
      <x:c r="F106" s="3"/>
      <x:c r="G106" s="3"/>
      <x:c r="H106" s="3"/>
      <x:c r="I106" s="3"/>
      <x:c r="J106" s="2"/>
      <x:c r="K106" s="2"/>
      <x:c r="L106" s="2"/>
      <x:c r="M106" s="2"/>
      <x:c r="N106" s="2"/>
      <x:c r="O106" s="2"/>
      <x:c r="P106" s="2"/>
      <x:c r="Q106" s="2"/>
    </x:row>
    <x:row r="107" ht="22" customHeight="1">
      <x:c r="A107" s="2"/>
      <x:c r="B107" s="2"/>
      <x:c r="C107" s="2"/>
      <x:c r="D107" s="3"/>
      <x:c r="E107" s="3"/>
      <x:c r="F107" s="3"/>
      <x:c r="G107" s="3"/>
      <x:c r="H107" s="3"/>
      <x:c r="I107" s="3"/>
      <x:c r="J107" s="2"/>
      <x:c r="K107" s="2"/>
      <x:c r="L107" s="2"/>
      <x:c r="M107" s="2"/>
      <x:c r="N107" s="2"/>
      <x:c r="O107" s="2"/>
      <x:c r="P107" s="2"/>
      <x:c r="Q107" s="2"/>
    </x:row>
    <x:row r="108" ht="22" customHeight="1">
      <x:c r="A108" s="2"/>
      <x:c r="B108" s="2"/>
      <x:c r="C108" s="2"/>
      <x:c r="D108" s="3"/>
      <x:c r="E108" s="3"/>
      <x:c r="F108" s="3"/>
      <x:c r="G108" s="3"/>
      <x:c r="H108" s="3"/>
      <x:c r="I108" s="3"/>
      <x:c r="J108" s="2"/>
      <x:c r="K108" s="2"/>
      <x:c r="L108" s="2"/>
      <x:c r="M108" s="2"/>
      <x:c r="N108" s="2"/>
      <x:c r="O108" s="2"/>
      <x:c r="P108" s="2"/>
      <x:c r="Q108" s="2"/>
    </x:row>
    <x:row r="109" ht="22" customHeight="1">
      <x:c r="A109" s="2"/>
      <x:c r="B109" s="2"/>
      <x:c r="C109" s="2"/>
      <x:c r="D109" s="3"/>
      <x:c r="E109" s="3"/>
      <x:c r="F109" s="3"/>
      <x:c r="G109" s="3"/>
      <x:c r="H109" s="3"/>
      <x:c r="I109" s="3"/>
      <x:c r="J109" s="2"/>
      <x:c r="K109" s="2"/>
      <x:c r="L109" s="2"/>
      <x:c r="M109" s="2"/>
      <x:c r="N109" s="2"/>
      <x:c r="O109" s="2"/>
      <x:c r="P109" s="2"/>
      <x:c r="Q109" s="2"/>
    </x:row>
    <x:row r="110" ht="22" customHeight="1">
      <x:c r="A110" s="2"/>
      <x:c r="B110" s="2"/>
      <x:c r="C110" s="2"/>
      <x:c r="D110" s="3"/>
      <x:c r="E110" s="3"/>
      <x:c r="F110" s="3"/>
      <x:c r="G110" s="3"/>
      <x:c r="H110" s="3"/>
      <x:c r="I110" s="3"/>
      <x:c r="J110" s="2"/>
      <x:c r="K110" s="2"/>
      <x:c r="L110" s="2"/>
      <x:c r="M110" s="2"/>
      <x:c r="N110" s="2"/>
      <x:c r="O110" s="2"/>
      <x:c r="P110" s="2"/>
      <x:c r="Q110" s="2"/>
    </x:row>
    <x:row r="111" ht="22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 ht="22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 ht="22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 ht="22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 ht="22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 ht="22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 ht="22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 ht="22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 ht="22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 ht="22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</x:sheetData>
  <x:dataValidations count="1">
    <x:dataValidation type="list" sqref="D5">
      <x:formula1>"1,2,3"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3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2" customHeight="1">
      <x:c r="A2" s="2"/>
      <x:c r="B2" s="2"/>
      <x:c r="C2" s="4" t="str">
        <x:v>Transaction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</x:row>
    <x:row r="3" ht="22" customHeight="1">
      <x:c r="A3" s="2"/>
      <x:c r="B3" s="2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</x:row>
    <x:row r="4" ht="22" customHeight="1">
      <x:c r="A4" s="2"/>
      <x:c r="B4" s="2"/>
      <x:c r="C4" s="2" t="str">
        <x:v>USD millions | FY2025 historical; 2026–2030 forecast</x:v>
      </x:c>
      <x:c r="D4" s="2"/>
      <x:c r="E4" s="2"/>
      <x:c r="F4" s="2"/>
      <x:c r="G4" s="2"/>
      <x:c r="H4" s="2"/>
      <x:c r="I4" s="2"/>
      <x:c r="J4" s="2"/>
      <x:c r="K4" s="2" t="str">
        <x:v>Case Selected:</x:v>
      </x:c>
      <x:c r="L4" s="8" t="str">
        <x:f>CHOOSE(Assumptions!$D$5,"Base","Upside","Downside")</x:f>
        <x:v>Base</x:v>
      </x:c>
      <x:c r="M4" s="2"/>
      <x:c r="N4" s="2"/>
      <x:c r="O4" s="2"/>
      <x:c r="P4" s="2"/>
      <x:c r="Q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2" customHeight="1">
      <x:c r="A6" s="2"/>
      <x:c r="B6" s="2"/>
      <x:c r="C6" s="13" t="str">
        <x:v>Analysis</x:v>
      </x:c>
      <x:c r="D6" s="14"/>
      <x:c r="E6" s="14"/>
      <x:c r="F6" s="14"/>
      <x:c r="G6" s="14"/>
      <x:c r="H6" s="14"/>
      <x:c r="I6" s="14"/>
      <x:c r="J6" s="2"/>
      <x:c r="K6" s="2"/>
      <x:c r="L6" s="2"/>
      <x:c r="M6" s="2"/>
      <x:c r="N6" s="2"/>
      <x:c r="O6" s="2"/>
      <x:c r="P6" s="2"/>
      <x:c r="Q6" s="2"/>
    </x:row>
    <x:row r="7" ht="22" customHeight="1">
      <x:c r="A7" s="2"/>
      <x:c r="B7" s="2"/>
      <x:c r="C7" s="2"/>
      <x:c r="D7" s="3"/>
      <x:c r="E7" s="3"/>
      <x:c r="F7" s="3"/>
      <x:c r="G7" s="3"/>
      <x:c r="H7" s="3"/>
      <x:c r="I7" s="3"/>
      <x:c r="J7" s="2"/>
      <x:c r="K7" s="2"/>
      <x:c r="L7" s="2"/>
      <x:c r="M7" s="2"/>
      <x:c r="N7" s="2"/>
      <x:c r="O7" s="2"/>
      <x:c r="P7" s="2"/>
      <x:c r="Q7" s="2"/>
    </x:row>
    <x:row r="8" ht="22" customHeight="1">
      <x:c r="A8" s="2"/>
      <x:c r="B8" s="2"/>
      <x:c r="C8" s="2" t="str">
        <x:v>Entry enterprise value</x:v>
      </x:c>
      <x:c r="D8" s="26" t="n">
        <x:f>Historical!$D$66*Assumptions!$D$8</x:f>
        <x:v>6394.5</x:v>
      </x:c>
      <x:c r="E8" s="3"/>
      <x:c r="F8" s="3"/>
      <x:c r="G8" s="3"/>
      <x:c r="H8" s="3"/>
      <x:c r="I8" s="3"/>
      <x:c r="J8" s="2"/>
      <x:c r="K8" s="2"/>
      <x:c r="L8" s="2"/>
      <x:c r="M8" s="2"/>
      <x:c r="N8" s="2"/>
      <x:c r="O8" s="2"/>
      <x:c r="P8" s="2"/>
      <x:c r="Q8" s="2"/>
    </x:row>
    <x:row r="9" ht="22" customHeight="1">
      <x:c r="A9" s="2"/>
      <x:c r="B9" s="2"/>
      <x:c r="C9" s="2" t="str">
        <x:v>Transaction fees</x:v>
      </x:c>
      <x:c r="D9" s="26" t="n">
        <x:f>D8*Assumptions!$D$18</x:f>
        <x:v>127.89</x:v>
      </x:c>
      <x:c r="E9" s="3"/>
      <x:c r="F9" s="3"/>
      <x:c r="G9" s="3"/>
      <x:c r="H9" s="3"/>
      <x:c r="I9" s="3"/>
      <x:c r="J9" s="2"/>
      <x:c r="K9" s="2"/>
      <x:c r="L9" s="2"/>
      <x:c r="M9" s="2"/>
      <x:c r="N9" s="2"/>
      <x:c r="O9" s="2"/>
      <x:c r="P9" s="2"/>
      <x:c r="Q9" s="2"/>
    </x:row>
    <x:row r="10" ht="22" customHeight="1">
      <x:c r="A10" s="2"/>
      <x:c r="B10" s="2"/>
      <x:c r="C10" s="2" t="str">
        <x:v>Opening operating cash</x:v>
      </x:c>
      <x:c r="D10" s="26" t="n">
        <x:f>Assumptions!$D$17</x:f>
        <x:v>100</x:v>
      </x:c>
      <x:c r="E10" s="3"/>
      <x:c r="F10" s="3"/>
      <x:c r="G10" s="3"/>
      <x:c r="H10" s="3"/>
      <x:c r="I10" s="3"/>
      <x:c r="J10" s="2"/>
      <x:c r="K10" s="2"/>
      <x:c r="L10" s="2"/>
      <x:c r="M10" s="2"/>
      <x:c r="N10" s="2"/>
      <x:c r="O10" s="2"/>
      <x:c r="P10" s="2"/>
      <x:c r="Q10" s="2"/>
    </x:row>
    <x:row r="11" ht="22" customHeight="1">
      <x:c r="A11" s="2"/>
      <x:c r="B11" s="2"/>
      <x:c r="C11" s="2" t="str">
        <x:v>Total uses</x:v>
      </x:c>
      <x:c r="D11" s="27" t="n">
        <x:f>SUM(D8:D10)</x:f>
        <x:v>6622.39</x:v>
      </x:c>
      <x:c r="E11" s="3"/>
      <x:c r="F11" s="3"/>
      <x:c r="G11" s="3"/>
      <x:c r="H11" s="3"/>
      <x:c r="I11" s="3"/>
      <x:c r="J11" s="2"/>
      <x:c r="K11" s="2"/>
      <x:c r="L11" s="2"/>
      <x:c r="M11" s="2"/>
      <x:c r="N11" s="2"/>
      <x:c r="O11" s="2"/>
      <x:c r="P11" s="2"/>
      <x:c r="Q11" s="2"/>
    </x:row>
    <x:row r="12" ht="22" customHeight="1">
      <x:c r="A12" s="2"/>
      <x:c r="B12" s="2"/>
      <x:c r="C12" s="2"/>
      <x:c r="D12" s="3"/>
      <x:c r="E12" s="3"/>
      <x:c r="F12" s="3"/>
      <x:c r="G12" s="3"/>
      <x:c r="H12" s="3"/>
      <x:c r="I12" s="3"/>
      <x:c r="J12" s="2"/>
      <x:c r="K12" s="2"/>
      <x:c r="L12" s="2"/>
      <x:c r="M12" s="2"/>
      <x:c r="N12" s="2"/>
      <x:c r="O12" s="2"/>
      <x:c r="P12" s="2"/>
      <x:c r="Q12" s="2"/>
    </x:row>
    <x:row r="13" ht="22" customHeight="1">
      <x:c r="A13" s="2"/>
      <x:c r="B13" s="2"/>
      <x:c r="C13" s="2" t="str">
        <x:v>Senior term loan</x:v>
      </x:c>
      <x:c r="D13" s="26" t="n">
        <x:f>Historical!$D$66*Assumptions!$D$10</x:f>
        <x:v>2131.5</x:v>
      </x:c>
      <x:c r="E13" s="3"/>
      <x:c r="F13" s="3"/>
      <x:c r="G13" s="3"/>
      <x:c r="H13" s="3"/>
      <x:c r="I13" s="3"/>
      <x:c r="J13" s="2"/>
      <x:c r="K13" s="2"/>
      <x:c r="L13" s="2"/>
      <x:c r="M13" s="2"/>
      <x:c r="N13" s="2"/>
      <x:c r="O13" s="2"/>
      <x:c r="P13" s="2"/>
      <x:c r="Q13" s="2"/>
    </x:row>
    <x:row r="14" ht="22" customHeight="1">
      <x:c r="A14" s="2"/>
      <x:c r="B14" s="2"/>
      <x:c r="C14" s="2" t="str">
        <x:v>Junior term loan</x:v>
      </x:c>
      <x:c r="D14" s="26" t="n">
        <x:f>Historical!$D$66*Assumptions!$D$11</x:f>
        <x:v>609</x:v>
      </x:c>
      <x:c r="E14" s="3"/>
      <x:c r="F14" s="3"/>
      <x:c r="G14" s="3"/>
      <x:c r="H14" s="3"/>
      <x:c r="I14" s="3"/>
      <x:c r="J14" s="2"/>
      <x:c r="K14" s="2"/>
      <x:c r="L14" s="2"/>
      <x:c r="M14" s="2"/>
      <x:c r="N14" s="2"/>
      <x:c r="O14" s="2"/>
      <x:c r="P14" s="2"/>
      <x:c r="Q14" s="2"/>
    </x:row>
    <x:row r="15" ht="22" customHeight="1">
      <x:c r="A15" s="2"/>
      <x:c r="B15" s="2"/>
      <x:c r="C15" s="2" t="str">
        <x:v>Sponsor equity</x:v>
      </x:c>
      <x:c r="D15" s="27" t="n">
        <x:f>D11-D13-D14</x:f>
        <x:v>3881.8900000000003</x:v>
      </x:c>
      <x:c r="E15" s="3"/>
      <x:c r="F15" s="3"/>
      <x:c r="G15" s="3"/>
      <x:c r="H15" s="3"/>
      <x:c r="I15" s="3"/>
      <x:c r="J15" s="2"/>
      <x:c r="K15" s="2"/>
      <x:c r="L15" s="2"/>
      <x:c r="M15" s="2"/>
      <x:c r="N15" s="2"/>
      <x:c r="O15" s="2"/>
      <x:c r="P15" s="2"/>
      <x:c r="Q15" s="2"/>
    </x:row>
    <x:row r="16" ht="22" customHeight="1">
      <x:c r="A16" s="2"/>
      <x:c r="B16" s="2"/>
      <x:c r="C16" s="2" t="str">
        <x:v>Total sources</x:v>
      </x:c>
      <x:c r="D16" s="27" t="n">
        <x:f>SUM(D13:D15)</x:f>
        <x:v>6622.39</x:v>
      </x:c>
      <x:c r="E16" s="3"/>
      <x:c r="F16" s="3"/>
      <x:c r="G16" s="3"/>
      <x:c r="H16" s="3"/>
      <x:c r="I16" s="3"/>
      <x:c r="J16" s="2"/>
      <x:c r="K16" s="2"/>
      <x:c r="L16" s="2"/>
      <x:c r="M16" s="2"/>
      <x:c r="N16" s="2"/>
      <x:c r="O16" s="2"/>
      <x:c r="P16" s="2"/>
      <x:c r="Q16" s="2"/>
    </x:row>
    <x:row r="17" ht="22" customHeight="1">
      <x:c r="A17" s="2"/>
      <x:c r="B17" s="2"/>
      <x:c r="C17" s="2"/>
      <x:c r="D17" s="3"/>
      <x:c r="E17" s="3"/>
      <x:c r="F17" s="3"/>
      <x:c r="G17" s="3"/>
      <x:c r="H17" s="3"/>
      <x:c r="I17" s="3"/>
      <x:c r="J17" s="2"/>
      <x:c r="K17" s="2"/>
      <x:c r="L17" s="2"/>
      <x:c r="M17" s="2"/>
      <x:c r="N17" s="2"/>
      <x:c r="O17" s="2"/>
      <x:c r="P17" s="2"/>
      <x:c r="Q17" s="2"/>
    </x:row>
    <x:row r="18" ht="22" customHeight="1">
      <x:c r="A18" s="2"/>
      <x:c r="B18" s="2"/>
      <x:c r="C18" s="2" t="str">
        <x:v>Historical net operating assets</x:v>
      </x:c>
      <x:c r="D18" s="26" t="n">
        <x:f>Historical!$D$61-Historical!$D$48-(Historical!$D$62-Historical!$D$54)</x:f>
        <x:v>6682</x:v>
      </x:c>
      <x:c r="E18" s="3"/>
      <x:c r="F18" s="3"/>
      <x:c r="G18" s="3"/>
      <x:c r="H18" s="3"/>
      <x:c r="I18" s="3"/>
      <x:c r="J18" s="2"/>
      <x:c r="K18" s="2"/>
      <x:c r="L18" s="2"/>
      <x:c r="M18" s="2"/>
      <x:c r="N18" s="2"/>
      <x:c r="O18" s="2"/>
      <x:c r="P18" s="2"/>
      <x:c r="Q18" s="2"/>
    </x:row>
    <x:row r="19" ht="22" customHeight="1">
      <x:c r="A19" s="2"/>
      <x:c r="B19" s="2"/>
      <x:c r="C19" s="2" t="str">
        <x:v>Property basis adjustment</x:v>
      </x:c>
      <x:c r="D19" s="27" t="n">
        <x:f>D8-D18</x:f>
        <x:v>-287.5</x:v>
      </x:c>
      <x:c r="E19" s="3"/>
      <x:c r="F19" s="3"/>
      <x:c r="G19" s="3"/>
      <x:c r="H19" s="3"/>
      <x:c r="I19" s="3"/>
      <x:c r="J19" s="2"/>
      <x:c r="K19" s="2"/>
      <x:c r="L19" s="2"/>
      <x:c r="M19" s="2"/>
      <x:c r="N19" s="2"/>
      <x:c r="O19" s="2"/>
      <x:c r="P19" s="2"/>
      <x:c r="Q19" s="2"/>
    </x:row>
    <x:row r="20" ht="22" customHeight="1">
      <x:c r="A20" s="2"/>
      <x:c r="B20" s="2"/>
      <x:c r="C20" s="2" t="str">
        <x:v>Opening property basis</x:v>
      </x:c>
      <x:c r="D20" s="26" t="n">
        <x:f>Historical!$D$45+D19</x:f>
        <x:v>6667.5</x:v>
      </x:c>
      <x:c r="E20" s="3"/>
      <x:c r="F20" s="3"/>
      <x:c r="G20" s="3"/>
      <x:c r="H20" s="3"/>
      <x:c r="I20" s="3"/>
      <x:c r="J20" s="2"/>
      <x:c r="K20" s="2"/>
      <x:c r="L20" s="2"/>
      <x:c r="M20" s="2"/>
      <x:c r="N20" s="2"/>
      <x:c r="O20" s="2"/>
      <x:c r="P20" s="2"/>
      <x:c r="Q20" s="2"/>
    </x:row>
    <x:row r="21" ht="22" customHeight="1">
      <x:c r="A21" s="2"/>
      <x:c r="B21" s="2"/>
      <x:c r="C21" s="2" t="str">
        <x:v>Opening book equity, net of fees</x:v>
      </x:c>
      <x:c r="D21" s="27" t="n">
        <x:f>D15-D9</x:f>
        <x:v>3754.0000000000005</x:v>
      </x:c>
      <x:c r="E21" s="3"/>
      <x:c r="F21" s="3"/>
      <x:c r="G21" s="3"/>
      <x:c r="H21" s="3"/>
      <x:c r="I21" s="3"/>
      <x:c r="J21" s="2"/>
      <x:c r="K21" s="2"/>
      <x:c r="L21" s="2"/>
      <x:c r="M21" s="2"/>
      <x:c r="N21" s="2"/>
      <x:c r="O21" s="2"/>
      <x:c r="P21" s="2"/>
      <x:c r="Q21" s="2"/>
    </x:row>
    <x:row r="22" ht="22" customHeight="1">
      <x:c r="A22" s="2"/>
      <x:c r="B22" s="2"/>
      <x:c r="C22" s="2"/>
      <x:c r="D22" s="3"/>
      <x:c r="E22" s="3"/>
      <x:c r="F22" s="3"/>
      <x:c r="G22" s="3"/>
      <x:c r="H22" s="3"/>
      <x:c r="I22" s="3"/>
      <x:c r="J22" s="2"/>
      <x:c r="K22" s="2"/>
      <x:c r="L22" s="2"/>
      <x:c r="M22" s="2"/>
      <x:c r="N22" s="2"/>
      <x:c r="O22" s="2"/>
      <x:c r="P22" s="2"/>
      <x:c r="Q22" s="2"/>
    </x:row>
    <x:row r="23" ht="22" customHeight="1">
      <x:c r="A23" s="2"/>
      <x:c r="B23" s="2"/>
      <x:c r="C23" s="2" t="str">
        <x:v>Source / use difference</x:v>
      </x:c>
      <x:c r="D23" s="27" t="n">
        <x:f>D16-D11</x:f>
        <x:v>0</x:v>
      </x:c>
      <x:c r="E23" s="3"/>
      <x:c r="F23" s="3"/>
      <x:c r="G23" s="3"/>
      <x:c r="H23" s="3"/>
      <x:c r="I23" s="3"/>
      <x:c r="J23" s="2"/>
      <x:c r="K23" s="2"/>
      <x:c r="L23" s="2"/>
      <x:c r="M23" s="2"/>
      <x:c r="N23" s="2"/>
      <x:c r="O23" s="2"/>
      <x:c r="P23" s="2"/>
      <x:c r="Q23" s="2"/>
    </x:row>
    <x:row r="24" ht="22" customHeight="1">
      <x:c r="A24" s="2"/>
      <x:c r="B24" s="2"/>
      <x:c r="C24" s="2"/>
      <x:c r="D24" s="3"/>
      <x:c r="E24" s="3"/>
      <x:c r="F24" s="3"/>
      <x:c r="G24" s="3"/>
      <x:c r="H24" s="3"/>
      <x:c r="I24" s="3"/>
      <x:c r="J24" s="2"/>
      <x:c r="K24" s="2"/>
      <x:c r="L24" s="2"/>
      <x:c r="M24" s="2"/>
      <x:c r="N24" s="2"/>
      <x:c r="O24" s="2"/>
      <x:c r="P24" s="2"/>
      <x:c r="Q24" s="2"/>
    </x:row>
    <x:row r="25" ht="22" customHeight="1">
      <x:c r="A25" s="2"/>
      <x:c r="B25" s="2"/>
      <x:c r="C25" s="2" t="str">
        <x:v>Indicative offer per share</x:v>
      </x:c>
      <x:c r="D25" s="55" t="n">
        <x:f>(D8+Historical!$D$48-Historical!$D$63-Historical!$D$64)/Historical!$D$65</x:f>
        <x:v>13.21403526542122</x:v>
      </x:c>
      <x:c r="E25" s="3"/>
      <x:c r="F25" s="3"/>
      <x:c r="G25" s="3"/>
      <x:c r="H25" s="3"/>
      <x:c r="I25" s="3"/>
      <x:c r="J25" s="2"/>
      <x:c r="K25" s="2"/>
      <x:c r="L25" s="2"/>
      <x:c r="M25" s="2"/>
      <x:c r="N25" s="2"/>
      <x:c r="O25" s="2"/>
      <x:c r="P25" s="2"/>
      <x:c r="Q25" s="2"/>
    </x:row>
    <x:row r="26" ht="22" customHeight="1">
      <x:c r="A26" s="2"/>
      <x:c r="B26" s="2"/>
      <x:c r="C26" s="2" t="str">
        <x:v>Premium to 2025 year-end price</x:v>
      </x:c>
      <x:c r="D26" s="29" t="n">
        <x:f>D25/Comps!D8-1</x:f>
        <x:v>0.2632920903844378</x:v>
      </x:c>
      <x:c r="E26" s="3"/>
      <x:c r="F26" s="3"/>
      <x:c r="G26" s="3"/>
      <x:c r="H26" s="3"/>
      <x:c r="I26" s="3"/>
      <x:c r="J26" s="2"/>
      <x:c r="K26" s="2"/>
      <x:c r="L26" s="2"/>
      <x:c r="M26" s="2"/>
      <x:c r="N26" s="2"/>
      <x:c r="O26" s="2"/>
      <x:c r="P26" s="2"/>
      <x:c r="Q26" s="2"/>
    </x:row>
    <x:row r="27" ht="22" customHeight="1">
      <x:c r="A27" s="2"/>
      <x:c r="B27" s="2"/>
      <x:c r="C27" s="2"/>
      <x:c r="D27" s="3"/>
      <x:c r="E27" s="3"/>
      <x:c r="F27" s="3"/>
      <x:c r="G27" s="3"/>
      <x:c r="H27" s="3"/>
      <x:c r="I27" s="3"/>
      <x:c r="J27" s="2"/>
      <x:c r="K27" s="2"/>
      <x:c r="L27" s="2"/>
      <x:c r="M27" s="2"/>
      <x:c r="N27" s="2"/>
      <x:c r="O27" s="2"/>
      <x:c r="P27" s="2"/>
      <x:c r="Q27" s="2"/>
    </x:row>
    <x:row r="28" ht="22" customHeight="1">
      <x:c r="A28" s="2"/>
      <x:c r="B28" s="2"/>
      <x:c r="C28" s="2"/>
      <x:c r="D28" s="3"/>
      <x:c r="E28" s="3"/>
      <x:c r="F28" s="3"/>
      <x:c r="G28" s="3"/>
      <x:c r="H28" s="3"/>
      <x:c r="I28" s="3"/>
      <x:c r="J28" s="2"/>
      <x:c r="K28" s="2"/>
      <x:c r="L28" s="2"/>
      <x:c r="M28" s="2"/>
      <x:c r="N28" s="2"/>
      <x:c r="O28" s="2"/>
      <x:c r="P28" s="2"/>
      <x:c r="Q28" s="2"/>
    </x:row>
    <x:row r="29" ht="22" customHeight="1">
      <x:c r="A29" s="2"/>
      <x:c r="B29" s="2"/>
      <x:c r="C29" s="19" t="str">
        <x:v>Illustrative taxable corporate acquisition; no REIT distribution constraint assumed.</x:v>
      </x:c>
      <x:c r="D29" s="20"/>
      <x:c r="E29" s="20"/>
      <x:c r="F29" s="20"/>
      <x:c r="G29" s="20"/>
      <x:c r="H29" s="20"/>
      <x:c r="I29" s="20"/>
      <x:c r="J29" s="19"/>
      <x:c r="K29" s="19"/>
      <x:c r="L29" s="19"/>
      <x:c r="M29" s="19"/>
      <x:c r="N29" s="2"/>
      <x:c r="O29" s="2"/>
      <x:c r="P29" s="2"/>
      <x:c r="Q29" s="2"/>
    </x:row>
    <x:row r="30" ht="22" customHeight="1">
      <x:c r="A30" s="2"/>
      <x:c r="B30" s="2"/>
      <x:c r="C30" s="2"/>
      <x:c r="D30" s="3"/>
      <x:c r="E30" s="3"/>
      <x:c r="F30" s="3"/>
      <x:c r="G30" s="3"/>
      <x:c r="H30" s="3"/>
      <x:c r="I30" s="3"/>
      <x:c r="J30" s="2"/>
      <x:c r="K30" s="2"/>
      <x:c r="L30" s="2"/>
      <x:c r="M30" s="2"/>
      <x:c r="N30" s="2"/>
      <x:c r="O30" s="2"/>
      <x:c r="P30" s="2"/>
      <x:c r="Q30" s="2"/>
    </x:row>
    <x:row r="31" ht="22" customHeight="1">
      <x:c r="A31" s="2"/>
      <x:c r="B31" s="2"/>
      <x:c r="C31" s="19" t="str">
        <x:v>Property basis allocation is a model assumption, not a completed purchase-price appraisal.</x:v>
      </x:c>
      <x:c r="D31" s="20"/>
      <x:c r="E31" s="20"/>
      <x:c r="F31" s="20"/>
      <x:c r="G31" s="20"/>
      <x:c r="H31" s="20"/>
      <x:c r="I31" s="20"/>
      <x:c r="J31" s="19"/>
      <x:c r="K31" s="19"/>
      <x:c r="L31" s="19"/>
      <x:c r="M31" s="19"/>
      <x:c r="N31" s="2"/>
      <x:c r="O31" s="2"/>
      <x:c r="P31" s="2"/>
      <x:c r="Q31" s="2"/>
    </x:row>
    <x:row r="32" ht="22" customHeight="1">
      <x:c r="A32" s="2"/>
      <x:c r="B32" s="2"/>
      <x:c r="C32" s="2"/>
      <x:c r="D32" s="3"/>
      <x:c r="E32" s="3"/>
      <x:c r="F32" s="3"/>
      <x:c r="G32" s="3"/>
      <x:c r="H32" s="3"/>
      <x:c r="I32" s="3"/>
      <x:c r="J32" s="2"/>
      <x:c r="K32" s="2"/>
      <x:c r="L32" s="2"/>
      <x:c r="M32" s="2"/>
      <x:c r="N32" s="2"/>
      <x:c r="O32" s="2"/>
      <x:c r="P32" s="2"/>
      <x:c r="Q32" s="2"/>
    </x:row>
    <x:row r="33" ht="22" customHeight="1">
      <x:c r="A33" s="2"/>
      <x:c r="B33" s="2"/>
      <x:c r="C33" s="19" t="str">
        <x:v>Offer-price bridge includes JV debt; operating LBO is an aggregated cash-flow proxy.</x:v>
      </x:c>
      <x:c r="D33" s="20"/>
      <x:c r="E33" s="20"/>
      <x:c r="F33" s="20"/>
      <x:c r="G33" s="20"/>
      <x:c r="H33" s="20"/>
      <x:c r="I33" s="20"/>
      <x:c r="J33" s="19"/>
      <x:c r="K33" s="19"/>
      <x:c r="L33" s="19"/>
      <x:c r="M33" s="19"/>
      <x:c r="N33" s="2"/>
      <x:c r="O33" s="2"/>
      <x:c r="P33" s="2"/>
      <x:c r="Q33" s="2"/>
    </x:row>
    <x:row r="34" ht="22" customHeight="1">
      <x:c r="A34" s="2"/>
      <x:c r="B34" s="2"/>
      <x:c r="C34" s="2"/>
      <x:c r="D34" s="3"/>
      <x:c r="E34" s="3"/>
      <x:c r="F34" s="3"/>
      <x:c r="G34" s="3"/>
      <x:c r="H34" s="3"/>
      <x:c r="I34" s="3"/>
      <x:c r="J34" s="2"/>
      <x:c r="K34" s="2"/>
      <x:c r="L34" s="2"/>
      <x:c r="M34" s="2"/>
      <x:c r="N34" s="2"/>
      <x:c r="O34" s="2"/>
      <x:c r="P34" s="2"/>
      <x:c r="Q34" s="2"/>
    </x:row>
    <x:row r="35" ht="22" customHeight="1">
      <x:c r="A35" s="2"/>
      <x:c r="B35" s="2"/>
      <x:c r="C35" s="19" t="str">
        <x:v>Fees are paid and expensed at closing. Historical debt is refinanced at the transaction boundary.</x:v>
      </x:c>
      <x:c r="D35" s="20"/>
      <x:c r="E35" s="20"/>
      <x:c r="F35" s="20"/>
      <x:c r="G35" s="20"/>
      <x:c r="H35" s="20"/>
      <x:c r="I35" s="20"/>
      <x:c r="J35" s="19"/>
      <x:c r="K35" s="19"/>
      <x:c r="L35" s="19"/>
      <x:c r="M35" s="19"/>
      <x:c r="N35" s="2"/>
      <x:c r="O35" s="2"/>
      <x:c r="P35" s="2"/>
      <x:c r="Q35" s="2"/>
    </x:row>
    <x:row r="36" ht="22" customHeight="1">
      <x:c r="A36" s="2"/>
      <x:c r="B36" s="2"/>
      <x:c r="C36" s="2"/>
      <x:c r="D36" s="3"/>
      <x:c r="E36" s="3"/>
      <x:c r="F36" s="3"/>
      <x:c r="G36" s="3"/>
      <x:c r="H36" s="3"/>
      <x:c r="I36" s="3"/>
      <x:c r="J36" s="2"/>
      <x:c r="K36" s="2"/>
      <x:c r="L36" s="2"/>
      <x:c r="M36" s="2"/>
      <x:c r="N36" s="2"/>
      <x:c r="O36" s="2"/>
      <x:c r="P36" s="2"/>
      <x:c r="Q36" s="2"/>
    </x:row>
    <x:row r="37" ht="22" customHeight="1">
      <x:c r="A37" s="2"/>
      <x:c r="B37" s="2"/>
      <x:c r="C37" s="2"/>
      <x:c r="D37" s="3"/>
      <x:c r="E37" s="3"/>
      <x:c r="F37" s="3"/>
      <x:c r="G37" s="3"/>
      <x:c r="H37" s="3"/>
      <x:c r="I37" s="3"/>
      <x:c r="J37" s="2"/>
      <x:c r="K37" s="2"/>
      <x:c r="L37" s="2"/>
      <x:c r="M37" s="2"/>
      <x:c r="N37" s="2"/>
      <x:c r="O37" s="2"/>
      <x:c r="P37" s="2"/>
      <x:c r="Q37" s="2"/>
    </x:row>
    <x:row r="38" ht="22" customHeight="1">
      <x:c r="A38" s="2"/>
      <x:c r="B38" s="2"/>
      <x:c r="C38" s="2"/>
      <x:c r="D38" s="3"/>
      <x:c r="E38" s="3"/>
      <x:c r="F38" s="3"/>
      <x:c r="G38" s="3"/>
      <x:c r="H38" s="3"/>
      <x:c r="I38" s="3"/>
      <x:c r="J38" s="2"/>
      <x:c r="K38" s="2"/>
      <x:c r="L38" s="2"/>
      <x:c r="M38" s="2"/>
      <x:c r="N38" s="2"/>
      <x:c r="O38" s="2"/>
      <x:c r="P38" s="2"/>
      <x:c r="Q38" s="2"/>
    </x:row>
    <x:row r="39" ht="22" customHeight="1">
      <x:c r="A39" s="2"/>
      <x:c r="B39" s="2"/>
      <x:c r="C39" s="2"/>
      <x:c r="D39" s="3"/>
      <x:c r="E39" s="3"/>
      <x:c r="F39" s="3"/>
      <x:c r="G39" s="3"/>
      <x:c r="H39" s="3"/>
      <x:c r="I39" s="3"/>
      <x:c r="J39" s="2"/>
      <x:c r="K39" s="2"/>
      <x:c r="L39" s="2"/>
      <x:c r="M39" s="2"/>
      <x:c r="N39" s="2"/>
      <x:c r="O39" s="2"/>
      <x:c r="P39" s="2"/>
      <x:c r="Q39" s="2"/>
    </x:row>
    <x:row r="40" ht="22" customHeight="1">
      <x:c r="A40" s="2"/>
      <x:c r="B40" s="2"/>
      <x:c r="C40" s="2"/>
      <x:c r="D40" s="3"/>
      <x:c r="E40" s="3"/>
      <x:c r="F40" s="3"/>
      <x:c r="G40" s="3"/>
      <x:c r="H40" s="3"/>
      <x:c r="I40" s="3"/>
      <x:c r="J40" s="2"/>
      <x:c r="K40" s="2"/>
      <x:c r="L40" s="2"/>
      <x:c r="M40" s="2"/>
      <x:c r="N40" s="2"/>
      <x:c r="O40" s="2"/>
      <x:c r="P40" s="2"/>
      <x:c r="Q40" s="2"/>
    </x:row>
    <x:row r="41" ht="22" customHeight="1">
      <x:c r="A41" s="2"/>
      <x:c r="B41" s="2"/>
      <x:c r="C41" s="2"/>
      <x:c r="D41" s="3"/>
      <x:c r="E41" s="3"/>
      <x:c r="F41" s="3"/>
      <x:c r="G41" s="3"/>
      <x:c r="H41" s="3"/>
      <x:c r="I41" s="3"/>
      <x:c r="J41" s="2"/>
      <x:c r="K41" s="2"/>
      <x:c r="L41" s="2"/>
      <x:c r="M41" s="2"/>
      <x:c r="N41" s="2"/>
      <x:c r="O41" s="2"/>
      <x:c r="P41" s="2"/>
      <x:c r="Q41" s="2"/>
    </x:row>
    <x:row r="42" ht="22" customHeight="1">
      <x:c r="A42" s="2"/>
      <x:c r="B42" s="2"/>
      <x:c r="C42" s="2"/>
      <x:c r="D42" s="3"/>
      <x:c r="E42" s="3"/>
      <x:c r="F42" s="3"/>
      <x:c r="G42" s="3"/>
      <x:c r="H42" s="3"/>
      <x:c r="I42" s="3"/>
      <x:c r="J42" s="2"/>
      <x:c r="K42" s="2"/>
      <x:c r="L42" s="2"/>
      <x:c r="M42" s="2"/>
      <x:c r="N42" s="2"/>
      <x:c r="O42" s="2"/>
      <x:c r="P42" s="2"/>
      <x:c r="Q42" s="2"/>
    </x:row>
    <x:row r="43" ht="22" customHeight="1">
      <x:c r="A43" s="2"/>
      <x:c r="B43" s="2"/>
      <x:c r="C43" s="2"/>
      <x:c r="D43" s="3"/>
      <x:c r="E43" s="3"/>
      <x:c r="F43" s="3"/>
      <x:c r="G43" s="3"/>
      <x:c r="H43" s="3"/>
      <x:c r="I43" s="3"/>
      <x:c r="J43" s="2"/>
      <x:c r="K43" s="2"/>
      <x:c r="L43" s="2"/>
      <x:c r="M43" s="2"/>
      <x:c r="N43" s="2"/>
      <x:c r="O43" s="2"/>
      <x:c r="P43" s="2"/>
      <x:c r="Q43" s="2"/>
    </x:row>
    <x:row r="44" ht="22" customHeight="1">
      <x:c r="A44" s="2"/>
      <x:c r="B44" s="2"/>
      <x:c r="C44" s="2"/>
      <x:c r="D44" s="3"/>
      <x:c r="E44" s="3"/>
      <x:c r="F44" s="3"/>
      <x:c r="G44" s="3"/>
      <x:c r="H44" s="3"/>
      <x:c r="I44" s="3"/>
      <x:c r="J44" s="2"/>
      <x:c r="K44" s="2"/>
      <x:c r="L44" s="2"/>
      <x:c r="M44" s="2"/>
      <x:c r="N44" s="2"/>
      <x:c r="O44" s="2"/>
      <x:c r="P44" s="2"/>
      <x:c r="Q44" s="2"/>
    </x:row>
    <x:row r="45" ht="22" customHeight="1">
      <x:c r="A45" s="2"/>
      <x:c r="B45" s="2"/>
      <x:c r="C45" s="2"/>
      <x:c r="D45" s="3"/>
      <x:c r="E45" s="3"/>
      <x:c r="F45" s="3"/>
      <x:c r="G45" s="3"/>
      <x:c r="H45" s="3"/>
      <x:c r="I45" s="3"/>
      <x:c r="J45" s="2"/>
      <x:c r="K45" s="2"/>
      <x:c r="L45" s="2"/>
      <x:c r="M45" s="2"/>
      <x:c r="N45" s="2"/>
      <x:c r="O45" s="2"/>
      <x:c r="P45" s="2"/>
      <x:c r="Q45" s="2"/>
    </x:row>
    <x:row r="46" ht="22" customHeight="1">
      <x:c r="A46" s="2"/>
      <x:c r="B46" s="2"/>
      <x:c r="C46" s="2"/>
      <x:c r="D46" s="3"/>
      <x:c r="E46" s="3"/>
      <x:c r="F46" s="3"/>
      <x:c r="G46" s="3"/>
      <x:c r="H46" s="3"/>
      <x:c r="I46" s="3"/>
      <x:c r="J46" s="2"/>
      <x:c r="K46" s="2"/>
      <x:c r="L46" s="2"/>
      <x:c r="M46" s="2"/>
      <x:c r="N46" s="2"/>
      <x:c r="O46" s="2"/>
      <x:c r="P46" s="2"/>
      <x:c r="Q46" s="2"/>
    </x:row>
    <x:row r="47" ht="22" customHeight="1">
      <x:c r="A47" s="2"/>
      <x:c r="B47" s="2"/>
      <x:c r="C47" s="2"/>
      <x:c r="D47" s="3"/>
      <x:c r="E47" s="3"/>
      <x:c r="F47" s="3"/>
      <x:c r="G47" s="3"/>
      <x:c r="H47" s="3"/>
      <x:c r="I47" s="3"/>
      <x:c r="J47" s="2"/>
      <x:c r="K47" s="2"/>
      <x:c r="L47" s="2"/>
      <x:c r="M47" s="2"/>
      <x:c r="N47" s="2"/>
      <x:c r="O47" s="2"/>
      <x:c r="P47" s="2"/>
      <x:c r="Q47" s="2"/>
    </x:row>
    <x:row r="48" ht="22" customHeight="1">
      <x:c r="A48" s="2"/>
      <x:c r="B48" s="2"/>
      <x:c r="C48" s="2"/>
      <x:c r="D48" s="3"/>
      <x:c r="E48" s="3"/>
      <x:c r="F48" s="3"/>
      <x:c r="G48" s="3"/>
      <x:c r="H48" s="3"/>
      <x:c r="I48" s="3"/>
      <x:c r="J48" s="2"/>
      <x:c r="K48" s="2"/>
      <x:c r="L48" s="2"/>
      <x:c r="M48" s="2"/>
      <x:c r="N48" s="2"/>
      <x:c r="O48" s="2"/>
      <x:c r="P48" s="2"/>
      <x:c r="Q48" s="2"/>
    </x:row>
    <x:row r="49" ht="22" customHeight="1">
      <x:c r="A49" s="2"/>
      <x:c r="B49" s="2"/>
      <x:c r="C49" s="2"/>
      <x:c r="D49" s="3"/>
      <x:c r="E49" s="3"/>
      <x:c r="F49" s="3"/>
      <x:c r="G49" s="3"/>
      <x:c r="H49" s="3"/>
      <x:c r="I49" s="3"/>
      <x:c r="J49" s="2"/>
      <x:c r="K49" s="2"/>
      <x:c r="L49" s="2"/>
      <x:c r="M49" s="2"/>
      <x:c r="N49" s="2"/>
      <x:c r="O49" s="2"/>
      <x:c r="P49" s="2"/>
      <x:c r="Q49" s="2"/>
    </x:row>
    <x:row r="50" ht="22" customHeight="1">
      <x:c r="A50" s="2"/>
      <x:c r="B50" s="2"/>
      <x:c r="C50" s="2"/>
      <x:c r="D50" s="3"/>
      <x:c r="E50" s="3"/>
      <x:c r="F50" s="3"/>
      <x:c r="G50" s="3"/>
      <x:c r="H50" s="3"/>
      <x:c r="I50" s="3"/>
      <x:c r="J50" s="2"/>
      <x:c r="K50" s="2"/>
      <x:c r="L50" s="2"/>
      <x:c r="M50" s="2"/>
      <x:c r="N50" s="2"/>
      <x:c r="O50" s="2"/>
      <x:c r="P50" s="2"/>
      <x:c r="Q50" s="2"/>
    </x:row>
    <x:row r="51" ht="22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2"/>
      <x:c r="K51" s="2"/>
      <x:c r="L51" s="2"/>
      <x:c r="M51" s="2"/>
      <x:c r="N51" s="2"/>
      <x:c r="O51" s="2"/>
      <x:c r="P51" s="2"/>
      <x:c r="Q51" s="2"/>
    </x:row>
    <x:row r="52" ht="22" customHeight="1">
      <x:c r="A52" s="2"/>
      <x:c r="B52" s="2"/>
      <x:c r="C52" s="2"/>
      <x:c r="D52" s="3"/>
      <x:c r="E52" s="3"/>
      <x:c r="F52" s="3"/>
      <x:c r="G52" s="3"/>
      <x:c r="H52" s="3"/>
      <x:c r="I52" s="3"/>
      <x:c r="J52" s="2"/>
      <x:c r="K52" s="2"/>
      <x:c r="L52" s="2"/>
      <x:c r="M52" s="2"/>
      <x:c r="N52" s="2"/>
      <x:c r="O52" s="2"/>
      <x:c r="P52" s="2"/>
      <x:c r="Q52" s="2"/>
    </x:row>
    <x:row r="53" ht="22" customHeight="1">
      <x:c r="A53" s="2"/>
      <x:c r="B53" s="2"/>
      <x:c r="C53" s="2"/>
      <x:c r="D53" s="3"/>
      <x:c r="E53" s="3"/>
      <x:c r="F53" s="3"/>
      <x:c r="G53" s="3"/>
      <x:c r="H53" s="3"/>
      <x:c r="I53" s="3"/>
      <x:c r="J53" s="2"/>
      <x:c r="K53" s="2"/>
      <x:c r="L53" s="2"/>
      <x:c r="M53" s="2"/>
      <x:c r="N53" s="2"/>
      <x:c r="O53" s="2"/>
      <x:c r="P53" s="2"/>
      <x:c r="Q53" s="2"/>
    </x:row>
    <x:row r="54" ht="22" customHeight="1">
      <x:c r="A54" s="2"/>
      <x:c r="B54" s="2"/>
      <x:c r="C54" s="2"/>
      <x:c r="D54" s="3"/>
      <x:c r="E54" s="3"/>
      <x:c r="F54" s="3"/>
      <x:c r="G54" s="3"/>
      <x:c r="H54" s="3"/>
      <x:c r="I54" s="3"/>
      <x:c r="J54" s="2"/>
      <x:c r="K54" s="2"/>
      <x:c r="L54" s="2"/>
      <x:c r="M54" s="2"/>
      <x:c r="N54" s="2"/>
      <x:c r="O54" s="2"/>
      <x:c r="P54" s="2"/>
      <x:c r="Q54" s="2"/>
    </x:row>
    <x:row r="55" ht="22" customHeight="1">
      <x:c r="A55" s="2"/>
      <x:c r="B55" s="2"/>
      <x:c r="C55" s="2"/>
      <x:c r="D55" s="3"/>
      <x:c r="E55" s="3"/>
      <x:c r="F55" s="3"/>
      <x:c r="G55" s="3"/>
      <x:c r="H55" s="3"/>
      <x:c r="I55" s="3"/>
      <x:c r="J55" s="2"/>
      <x:c r="K55" s="2"/>
      <x:c r="L55" s="2"/>
      <x:c r="M55" s="2"/>
      <x:c r="N55" s="2"/>
      <x:c r="O55" s="2"/>
      <x:c r="P55" s="2"/>
      <x:c r="Q55" s="2"/>
    </x:row>
    <x:row r="56" ht="22" customHeight="1">
      <x:c r="A56" s="2"/>
      <x:c r="B56" s="2"/>
      <x:c r="C56" s="2"/>
      <x:c r="D56" s="3"/>
      <x:c r="E56" s="3"/>
      <x:c r="F56" s="3"/>
      <x:c r="G56" s="3"/>
      <x:c r="H56" s="3"/>
      <x:c r="I56" s="3"/>
      <x:c r="J56" s="2"/>
      <x:c r="K56" s="2"/>
      <x:c r="L56" s="2"/>
      <x:c r="M56" s="2"/>
      <x:c r="N56" s="2"/>
      <x:c r="O56" s="2"/>
      <x:c r="P56" s="2"/>
      <x:c r="Q56" s="2"/>
    </x:row>
    <x:row r="57" ht="22" customHeight="1">
      <x:c r="A57" s="2"/>
      <x:c r="B57" s="2"/>
      <x:c r="C57" s="2"/>
      <x:c r="D57" s="3"/>
      <x:c r="E57" s="3"/>
      <x:c r="F57" s="3"/>
      <x:c r="G57" s="3"/>
      <x:c r="H57" s="3"/>
      <x:c r="I57" s="3"/>
      <x:c r="J57" s="2"/>
      <x:c r="K57" s="2"/>
      <x:c r="L57" s="2"/>
      <x:c r="M57" s="2"/>
      <x:c r="N57" s="2"/>
      <x:c r="O57" s="2"/>
      <x:c r="P57" s="2"/>
      <x:c r="Q57" s="2"/>
    </x:row>
    <x:row r="58" ht="22" customHeight="1">
      <x:c r="A58" s="2"/>
      <x:c r="B58" s="2"/>
      <x:c r="C58" s="2"/>
      <x:c r="D58" s="3"/>
      <x:c r="E58" s="3"/>
      <x:c r="F58" s="3"/>
      <x:c r="G58" s="3"/>
      <x:c r="H58" s="3"/>
      <x:c r="I58" s="3"/>
      <x:c r="J58" s="2"/>
      <x:c r="K58" s="2"/>
      <x:c r="L58" s="2"/>
      <x:c r="M58" s="2"/>
      <x:c r="N58" s="2"/>
      <x:c r="O58" s="2"/>
      <x:c r="P58" s="2"/>
      <x:c r="Q58" s="2"/>
    </x:row>
    <x:row r="59" ht="22" customHeight="1">
      <x:c r="A59" s="2"/>
      <x:c r="B59" s="2"/>
      <x:c r="C59" s="2"/>
      <x:c r="D59" s="3"/>
      <x:c r="E59" s="3"/>
      <x:c r="F59" s="3"/>
      <x:c r="G59" s="3"/>
      <x:c r="H59" s="3"/>
      <x:c r="I59" s="3"/>
      <x:c r="J59" s="2"/>
      <x:c r="K59" s="2"/>
      <x:c r="L59" s="2"/>
      <x:c r="M59" s="2"/>
      <x:c r="N59" s="2"/>
      <x:c r="O59" s="2"/>
      <x:c r="P59" s="2"/>
      <x:c r="Q59" s="2"/>
    </x:row>
    <x:row r="60" ht="22" customHeight="1">
      <x:c r="A60" s="2"/>
      <x:c r="B60" s="2"/>
      <x:c r="C60" s="2"/>
      <x:c r="D60" s="3"/>
      <x:c r="E60" s="3"/>
      <x:c r="F60" s="3"/>
      <x:c r="G60" s="3"/>
      <x:c r="H60" s="3"/>
      <x:c r="I60" s="3"/>
      <x:c r="J60" s="2"/>
      <x:c r="K60" s="2"/>
      <x:c r="L60" s="2"/>
      <x:c r="M60" s="2"/>
      <x:c r="N60" s="2"/>
      <x:c r="O60" s="2"/>
      <x:c r="P60" s="2"/>
      <x:c r="Q60" s="2"/>
    </x:row>
    <x:row r="61" ht="22" customHeight="1">
      <x:c r="A61" s="2"/>
      <x:c r="B61" s="2"/>
      <x:c r="C61" s="2"/>
      <x:c r="D61" s="3"/>
      <x:c r="E61" s="3"/>
      <x:c r="F61" s="3"/>
      <x:c r="G61" s="3"/>
      <x:c r="H61" s="3"/>
      <x:c r="I61" s="3"/>
      <x:c r="J61" s="2"/>
      <x:c r="K61" s="2"/>
      <x:c r="L61" s="2"/>
      <x:c r="M61" s="2"/>
      <x:c r="N61" s="2"/>
      <x:c r="O61" s="2"/>
      <x:c r="P61" s="2"/>
      <x:c r="Q61" s="2"/>
    </x:row>
    <x:row r="62" ht="22" customHeight="1">
      <x:c r="A62" s="2"/>
      <x:c r="B62" s="2"/>
      <x:c r="C62" s="2"/>
      <x:c r="D62" s="3"/>
      <x:c r="E62" s="3"/>
      <x:c r="F62" s="3"/>
      <x:c r="G62" s="3"/>
      <x:c r="H62" s="3"/>
      <x:c r="I62" s="3"/>
      <x:c r="J62" s="2"/>
      <x:c r="K62" s="2"/>
      <x:c r="L62" s="2"/>
      <x:c r="M62" s="2"/>
      <x:c r="N62" s="2"/>
      <x:c r="O62" s="2"/>
      <x:c r="P62" s="2"/>
      <x:c r="Q62" s="2"/>
    </x:row>
    <x:row r="63" ht="22" customHeight="1">
      <x:c r="A63" s="2"/>
      <x:c r="B63" s="2"/>
      <x:c r="C63" s="2"/>
      <x:c r="D63" s="3"/>
      <x:c r="E63" s="3"/>
      <x:c r="F63" s="3"/>
      <x:c r="G63" s="3"/>
      <x:c r="H63" s="3"/>
      <x:c r="I63" s="3"/>
      <x:c r="J63" s="2"/>
      <x:c r="K63" s="2"/>
      <x:c r="L63" s="2"/>
      <x:c r="M63" s="2"/>
      <x:c r="N63" s="2"/>
      <x:c r="O63" s="2"/>
      <x:c r="P63" s="2"/>
      <x:c r="Q63" s="2"/>
    </x:row>
    <x:row r="64" ht="22" customHeight="1">
      <x:c r="A64" s="2"/>
      <x:c r="B64" s="2"/>
      <x:c r="C64" s="2"/>
      <x:c r="D64" s="3"/>
      <x:c r="E64" s="3"/>
      <x:c r="F64" s="3"/>
      <x:c r="G64" s="3"/>
      <x:c r="H64" s="3"/>
      <x:c r="I64" s="3"/>
      <x:c r="J64" s="2"/>
      <x:c r="K64" s="2"/>
      <x:c r="L64" s="2"/>
      <x:c r="M64" s="2"/>
      <x:c r="N64" s="2"/>
      <x:c r="O64" s="2"/>
      <x:c r="P64" s="2"/>
      <x:c r="Q64" s="2"/>
    </x:row>
    <x:row r="65" ht="22" customHeight="1">
      <x:c r="A65" s="2"/>
      <x:c r="B65" s="2"/>
      <x:c r="C65" s="2"/>
      <x:c r="D65" s="3"/>
      <x:c r="E65" s="3"/>
      <x:c r="F65" s="3"/>
      <x:c r="G65" s="3"/>
      <x:c r="H65" s="3"/>
      <x:c r="I65" s="3"/>
      <x:c r="J65" s="2"/>
      <x:c r="K65" s="2"/>
      <x:c r="L65" s="2"/>
      <x:c r="M65" s="2"/>
      <x:c r="N65" s="2"/>
      <x:c r="O65" s="2"/>
      <x:c r="P65" s="2"/>
      <x:c r="Q65" s="2"/>
    </x:row>
    <x:row r="66" ht="22" customHeight="1">
      <x:c r="A66" s="2"/>
      <x:c r="B66" s="2"/>
      <x:c r="C66" s="2"/>
      <x:c r="D66" s="3"/>
      <x:c r="E66" s="3"/>
      <x:c r="F66" s="3"/>
      <x:c r="G66" s="3"/>
      <x:c r="H66" s="3"/>
      <x:c r="I66" s="3"/>
      <x:c r="J66" s="2"/>
      <x:c r="K66" s="2"/>
      <x:c r="L66" s="2"/>
      <x:c r="M66" s="2"/>
      <x:c r="N66" s="2"/>
      <x:c r="O66" s="2"/>
      <x:c r="P66" s="2"/>
      <x:c r="Q66" s="2"/>
    </x:row>
    <x:row r="67" ht="22" customHeight="1">
      <x:c r="A67" s="2"/>
      <x:c r="B67" s="2"/>
      <x:c r="C67" s="2"/>
      <x:c r="D67" s="3"/>
      <x:c r="E67" s="3"/>
      <x:c r="F67" s="3"/>
      <x:c r="G67" s="3"/>
      <x:c r="H67" s="3"/>
      <x:c r="I67" s="3"/>
      <x:c r="J67" s="2"/>
      <x:c r="K67" s="2"/>
      <x:c r="L67" s="2"/>
      <x:c r="M67" s="2"/>
      <x:c r="N67" s="2"/>
      <x:c r="O67" s="2"/>
      <x:c r="P67" s="2"/>
      <x:c r="Q67" s="2"/>
    </x:row>
    <x:row r="68" ht="22" customHeight="1">
      <x:c r="A68" s="2"/>
      <x:c r="B68" s="2"/>
      <x:c r="C68" s="2"/>
      <x:c r="D68" s="3"/>
      <x:c r="E68" s="3"/>
      <x:c r="F68" s="3"/>
      <x:c r="G68" s="3"/>
      <x:c r="H68" s="3"/>
      <x:c r="I68" s="3"/>
      <x:c r="J68" s="2"/>
      <x:c r="K68" s="2"/>
      <x:c r="L68" s="2"/>
      <x:c r="M68" s="2"/>
      <x:c r="N68" s="2"/>
      <x:c r="O68" s="2"/>
      <x:c r="P68" s="2"/>
      <x:c r="Q68" s="2"/>
    </x:row>
    <x:row r="69" ht="22" customHeight="1">
      <x:c r="A69" s="2"/>
      <x:c r="B69" s="2"/>
      <x:c r="C69" s="2"/>
      <x:c r="D69" s="3"/>
      <x:c r="E69" s="3"/>
      <x:c r="F69" s="3"/>
      <x:c r="G69" s="3"/>
      <x:c r="H69" s="3"/>
      <x:c r="I69" s="3"/>
      <x:c r="J69" s="2"/>
      <x:c r="K69" s="2"/>
      <x:c r="L69" s="2"/>
      <x:c r="M69" s="2"/>
      <x:c r="N69" s="2"/>
      <x:c r="O69" s="2"/>
      <x:c r="P69" s="2"/>
      <x:c r="Q69" s="2"/>
    </x:row>
    <x:row r="70" ht="22" customHeight="1">
      <x:c r="A70" s="2"/>
      <x:c r="B70" s="2"/>
      <x:c r="C70" s="2"/>
      <x:c r="D70" s="3"/>
      <x:c r="E70" s="3"/>
      <x:c r="F70" s="3"/>
      <x:c r="G70" s="3"/>
      <x:c r="H70" s="3"/>
      <x:c r="I70" s="3"/>
      <x:c r="J70" s="2"/>
      <x:c r="K70" s="2"/>
      <x:c r="L70" s="2"/>
      <x:c r="M70" s="2"/>
      <x:c r="N70" s="2"/>
      <x:c r="O70" s="2"/>
      <x:c r="P70" s="2"/>
      <x:c r="Q70" s="2"/>
    </x:row>
    <x:row r="71" ht="22" customHeight="1">
      <x:c r="A71" s="2"/>
      <x:c r="B71" s="2"/>
      <x:c r="C71" s="2"/>
      <x:c r="D71" s="3"/>
      <x:c r="E71" s="3"/>
      <x:c r="F71" s="3"/>
      <x:c r="G71" s="3"/>
      <x:c r="H71" s="3"/>
      <x:c r="I71" s="3"/>
      <x:c r="J71" s="2"/>
      <x:c r="K71" s="2"/>
      <x:c r="L71" s="2"/>
      <x:c r="M71" s="2"/>
      <x:c r="N71" s="2"/>
      <x:c r="O71" s="2"/>
      <x:c r="P71" s="2"/>
      <x:c r="Q71" s="2"/>
    </x:row>
    <x:row r="72" ht="22" customHeight="1">
      <x:c r="A72" s="2"/>
      <x:c r="B72" s="2"/>
      <x:c r="C72" s="2"/>
      <x:c r="D72" s="3"/>
      <x:c r="E72" s="3"/>
      <x:c r="F72" s="3"/>
      <x:c r="G72" s="3"/>
      <x:c r="H72" s="3"/>
      <x:c r="I72" s="3"/>
      <x:c r="J72" s="2"/>
      <x:c r="K72" s="2"/>
      <x:c r="L72" s="2"/>
      <x:c r="M72" s="2"/>
      <x:c r="N72" s="2"/>
      <x:c r="O72" s="2"/>
      <x:c r="P72" s="2"/>
      <x:c r="Q72" s="2"/>
    </x:row>
    <x:row r="73" ht="22" customHeight="1">
      <x:c r="A73" s="2"/>
      <x:c r="B73" s="2"/>
      <x:c r="C73" s="2"/>
      <x:c r="D73" s="3"/>
      <x:c r="E73" s="3"/>
      <x:c r="F73" s="3"/>
      <x:c r="G73" s="3"/>
      <x:c r="H73" s="3"/>
      <x:c r="I73" s="3"/>
      <x:c r="J73" s="2"/>
      <x:c r="K73" s="2"/>
      <x:c r="L73" s="2"/>
      <x:c r="M73" s="2"/>
      <x:c r="N73" s="2"/>
      <x:c r="O73" s="2"/>
      <x:c r="P73" s="2"/>
      <x:c r="Q73" s="2"/>
    </x:row>
    <x:row r="74" ht="22" customHeight="1">
      <x:c r="A74" s="2"/>
      <x:c r="B74" s="2"/>
      <x:c r="C74" s="2"/>
      <x:c r="D74" s="3"/>
      <x:c r="E74" s="3"/>
      <x:c r="F74" s="3"/>
      <x:c r="G74" s="3"/>
      <x:c r="H74" s="3"/>
      <x:c r="I74" s="3"/>
      <x:c r="J74" s="2"/>
      <x:c r="K74" s="2"/>
      <x:c r="L74" s="2"/>
      <x:c r="M74" s="2"/>
      <x:c r="N74" s="2"/>
      <x:c r="O74" s="2"/>
      <x:c r="P74" s="2"/>
      <x:c r="Q74" s="2"/>
    </x:row>
    <x:row r="75" ht="22" customHeight="1">
      <x:c r="A75" s="2"/>
      <x:c r="B75" s="2"/>
      <x:c r="C75" s="2"/>
      <x:c r="D75" s="3"/>
      <x:c r="E75" s="3"/>
      <x:c r="F75" s="3"/>
      <x:c r="G75" s="3"/>
      <x:c r="H75" s="3"/>
      <x:c r="I75" s="3"/>
      <x:c r="J75" s="2"/>
      <x:c r="K75" s="2"/>
      <x:c r="L75" s="2"/>
      <x:c r="M75" s="2"/>
      <x:c r="N75" s="2"/>
      <x:c r="O75" s="2"/>
      <x:c r="P75" s="2"/>
      <x:c r="Q75" s="2"/>
    </x:row>
    <x:row r="76" ht="22" customHeight="1">
      <x:c r="A76" s="2"/>
      <x:c r="B76" s="2"/>
      <x:c r="C76" s="2"/>
      <x:c r="D76" s="3"/>
      <x:c r="E76" s="3"/>
      <x:c r="F76" s="3"/>
      <x:c r="G76" s="3"/>
      <x:c r="H76" s="3"/>
      <x:c r="I76" s="3"/>
      <x:c r="J76" s="2"/>
      <x:c r="K76" s="2"/>
      <x:c r="L76" s="2"/>
      <x:c r="M76" s="2"/>
      <x:c r="N76" s="2"/>
      <x:c r="O76" s="2"/>
      <x:c r="P76" s="2"/>
      <x:c r="Q76" s="2"/>
    </x:row>
    <x:row r="77" ht="22" customHeight="1">
      <x:c r="A77" s="2"/>
      <x:c r="B77" s="2"/>
      <x:c r="C77" s="2"/>
      <x:c r="D77" s="3"/>
      <x:c r="E77" s="3"/>
      <x:c r="F77" s="3"/>
      <x:c r="G77" s="3"/>
      <x:c r="H77" s="3"/>
      <x:c r="I77" s="3"/>
      <x:c r="J77" s="2"/>
      <x:c r="K77" s="2"/>
      <x:c r="L77" s="2"/>
      <x:c r="M77" s="2"/>
      <x:c r="N77" s="2"/>
      <x:c r="O77" s="2"/>
      <x:c r="P77" s="2"/>
      <x:c r="Q77" s="2"/>
    </x:row>
    <x:row r="78" ht="22" customHeight="1">
      <x:c r="A78" s="2"/>
      <x:c r="B78" s="2"/>
      <x:c r="C78" s="2"/>
      <x:c r="D78" s="3"/>
      <x:c r="E78" s="3"/>
      <x:c r="F78" s="3"/>
      <x:c r="G78" s="3"/>
      <x:c r="H78" s="3"/>
      <x:c r="I78" s="3"/>
      <x:c r="J78" s="2"/>
      <x:c r="K78" s="2"/>
      <x:c r="L78" s="2"/>
      <x:c r="M78" s="2"/>
      <x:c r="N78" s="2"/>
      <x:c r="O78" s="2"/>
      <x:c r="P78" s="2"/>
      <x:c r="Q78" s="2"/>
    </x:row>
    <x:row r="79" ht="22" customHeight="1">
      <x:c r="A79" s="2"/>
      <x:c r="B79" s="2"/>
      <x:c r="C79" s="2"/>
      <x:c r="D79" s="3"/>
      <x:c r="E79" s="3"/>
      <x:c r="F79" s="3"/>
      <x:c r="G79" s="3"/>
      <x:c r="H79" s="3"/>
      <x:c r="I79" s="3"/>
      <x:c r="J79" s="2"/>
      <x:c r="K79" s="2"/>
      <x:c r="L79" s="2"/>
      <x:c r="M79" s="2"/>
      <x:c r="N79" s="2"/>
      <x:c r="O79" s="2"/>
      <x:c r="P79" s="2"/>
      <x:c r="Q79" s="2"/>
    </x:row>
    <x:row r="80" ht="22" customHeight="1">
      <x:c r="A80" s="2"/>
      <x:c r="B80" s="2"/>
      <x:c r="C80" s="2"/>
      <x:c r="D80" s="3"/>
      <x:c r="E80" s="3"/>
      <x:c r="F80" s="3"/>
      <x:c r="G80" s="3"/>
      <x:c r="H80" s="3"/>
      <x:c r="I80" s="3"/>
      <x:c r="J80" s="2"/>
      <x:c r="K80" s="2"/>
      <x:c r="L80" s="2"/>
      <x:c r="M80" s="2"/>
      <x:c r="N80" s="2"/>
      <x:c r="O80" s="2"/>
      <x:c r="P80" s="2"/>
      <x:c r="Q80" s="2"/>
    </x:row>
    <x:row r="81" ht="22" customHeight="1">
      <x:c r="A81" s="2"/>
      <x:c r="B81" s="2"/>
      <x:c r="C81" s="2"/>
      <x:c r="D81" s="3"/>
      <x:c r="E81" s="3"/>
      <x:c r="F81" s="3"/>
      <x:c r="G81" s="3"/>
      <x:c r="H81" s="3"/>
      <x:c r="I81" s="3"/>
      <x:c r="J81" s="2"/>
      <x:c r="K81" s="2"/>
      <x:c r="L81" s="2"/>
      <x:c r="M81" s="2"/>
      <x:c r="N81" s="2"/>
      <x:c r="O81" s="2"/>
      <x:c r="P81" s="2"/>
      <x:c r="Q81" s="2"/>
    </x:row>
    <x:row r="82" ht="22" customHeight="1">
      <x:c r="A82" s="2"/>
      <x:c r="B82" s="2"/>
      <x:c r="C82" s="2"/>
      <x:c r="D82" s="3"/>
      <x:c r="E82" s="3"/>
      <x:c r="F82" s="3"/>
      <x:c r="G82" s="3"/>
      <x:c r="H82" s="3"/>
      <x:c r="I82" s="3"/>
      <x:c r="J82" s="2"/>
      <x:c r="K82" s="2"/>
      <x:c r="L82" s="2"/>
      <x:c r="M82" s="2"/>
      <x:c r="N82" s="2"/>
      <x:c r="O82" s="2"/>
      <x:c r="P82" s="2"/>
      <x:c r="Q82" s="2"/>
    </x:row>
    <x:row r="83" ht="22" customHeight="1">
      <x:c r="A83" s="2"/>
      <x:c r="B83" s="2"/>
      <x:c r="C83" s="2"/>
      <x:c r="D83" s="3"/>
      <x:c r="E83" s="3"/>
      <x:c r="F83" s="3"/>
      <x:c r="G83" s="3"/>
      <x:c r="H83" s="3"/>
      <x:c r="I83" s="3"/>
      <x:c r="J83" s="2"/>
      <x:c r="K83" s="2"/>
      <x:c r="L83" s="2"/>
      <x:c r="M83" s="2"/>
      <x:c r="N83" s="2"/>
      <x:c r="O83" s="2"/>
      <x:c r="P83" s="2"/>
      <x:c r="Q83" s="2"/>
    </x:row>
    <x:row r="84" ht="22" customHeight="1">
      <x:c r="A84" s="2"/>
      <x:c r="B84" s="2"/>
      <x:c r="C84" s="2"/>
      <x:c r="D84" s="3"/>
      <x:c r="E84" s="3"/>
      <x:c r="F84" s="3"/>
      <x:c r="G84" s="3"/>
      <x:c r="H84" s="3"/>
      <x:c r="I84" s="3"/>
      <x:c r="J84" s="2"/>
      <x:c r="K84" s="2"/>
      <x:c r="L84" s="2"/>
      <x:c r="M84" s="2"/>
      <x:c r="N84" s="2"/>
      <x:c r="O84" s="2"/>
      <x:c r="P84" s="2"/>
      <x:c r="Q84" s="2"/>
    </x:row>
    <x:row r="85" ht="22" customHeight="1">
      <x:c r="A85" s="2"/>
      <x:c r="B85" s="2"/>
      <x:c r="C85" s="2"/>
      <x:c r="D85" s="3"/>
      <x:c r="E85" s="3"/>
      <x:c r="F85" s="3"/>
      <x:c r="G85" s="3"/>
      <x:c r="H85" s="3"/>
      <x:c r="I85" s="3"/>
      <x:c r="J85" s="2"/>
      <x:c r="K85" s="2"/>
      <x:c r="L85" s="2"/>
      <x:c r="M85" s="2"/>
      <x:c r="N85" s="2"/>
      <x:c r="O85" s="2"/>
      <x:c r="P85" s="2"/>
      <x:c r="Q85" s="2"/>
    </x:row>
    <x:row r="86" ht="22" customHeight="1">
      <x:c r="A86" s="2"/>
      <x:c r="B86" s="2"/>
      <x:c r="C86" s="2"/>
      <x:c r="D86" s="3"/>
      <x:c r="E86" s="3"/>
      <x:c r="F86" s="3"/>
      <x:c r="G86" s="3"/>
      <x:c r="H86" s="3"/>
      <x:c r="I86" s="3"/>
      <x:c r="J86" s="2"/>
      <x:c r="K86" s="2"/>
      <x:c r="L86" s="2"/>
      <x:c r="M86" s="2"/>
      <x:c r="N86" s="2"/>
      <x:c r="O86" s="2"/>
      <x:c r="P86" s="2"/>
      <x:c r="Q86" s="2"/>
    </x:row>
    <x:row r="87" ht="22" customHeight="1">
      <x:c r="A87" s="2"/>
      <x:c r="B87" s="2"/>
      <x:c r="C87" s="2"/>
      <x:c r="D87" s="3"/>
      <x:c r="E87" s="3"/>
      <x:c r="F87" s="3"/>
      <x:c r="G87" s="3"/>
      <x:c r="H87" s="3"/>
      <x:c r="I87" s="3"/>
      <x:c r="J87" s="2"/>
      <x:c r="K87" s="2"/>
      <x:c r="L87" s="2"/>
      <x:c r="M87" s="2"/>
      <x:c r="N87" s="2"/>
      <x:c r="O87" s="2"/>
      <x:c r="P87" s="2"/>
      <x:c r="Q87" s="2"/>
    </x:row>
    <x:row r="88" ht="22" customHeight="1">
      <x:c r="A88" s="2"/>
      <x:c r="B88" s="2"/>
      <x:c r="C88" s="2"/>
      <x:c r="D88" s="3"/>
      <x:c r="E88" s="3"/>
      <x:c r="F88" s="3"/>
      <x:c r="G88" s="3"/>
      <x:c r="H88" s="3"/>
      <x:c r="I88" s="3"/>
      <x:c r="J88" s="2"/>
      <x:c r="K88" s="2"/>
      <x:c r="L88" s="2"/>
      <x:c r="M88" s="2"/>
      <x:c r="N88" s="2"/>
      <x:c r="O88" s="2"/>
      <x:c r="P88" s="2"/>
      <x:c r="Q88" s="2"/>
    </x:row>
    <x:row r="89" ht="22" customHeight="1">
      <x:c r="A89" s="2"/>
      <x:c r="B89" s="2"/>
      <x:c r="C89" s="2"/>
      <x:c r="D89" s="3"/>
      <x:c r="E89" s="3"/>
      <x:c r="F89" s="3"/>
      <x:c r="G89" s="3"/>
      <x:c r="H89" s="3"/>
      <x:c r="I89" s="3"/>
      <x:c r="J89" s="2"/>
      <x:c r="K89" s="2"/>
      <x:c r="L89" s="2"/>
      <x:c r="M89" s="2"/>
      <x:c r="N89" s="2"/>
      <x:c r="O89" s="2"/>
      <x:c r="P89" s="2"/>
      <x:c r="Q89" s="2"/>
    </x:row>
    <x:row r="90" ht="22" customHeight="1">
      <x:c r="A90" s="2"/>
      <x:c r="B90" s="2"/>
      <x:c r="C90" s="2"/>
      <x:c r="D90" s="3"/>
      <x:c r="E90" s="3"/>
      <x:c r="F90" s="3"/>
      <x:c r="G90" s="3"/>
      <x:c r="H90" s="3"/>
      <x:c r="I90" s="3"/>
      <x:c r="J90" s="2"/>
      <x:c r="K90" s="2"/>
      <x:c r="L90" s="2"/>
      <x:c r="M90" s="2"/>
      <x:c r="N90" s="2"/>
      <x:c r="O90" s="2"/>
      <x:c r="P90" s="2"/>
      <x:c r="Q90" s="2"/>
    </x:row>
    <x:row r="91" ht="22" customHeight="1">
      <x:c r="A91" s="2"/>
      <x:c r="B91" s="2"/>
      <x:c r="C91" s="2"/>
      <x:c r="D91" s="3"/>
      <x:c r="E91" s="3"/>
      <x:c r="F91" s="3"/>
      <x:c r="G91" s="3"/>
      <x:c r="H91" s="3"/>
      <x:c r="I91" s="3"/>
      <x:c r="J91" s="2"/>
      <x:c r="K91" s="2"/>
      <x:c r="L91" s="2"/>
      <x:c r="M91" s="2"/>
      <x:c r="N91" s="2"/>
      <x:c r="O91" s="2"/>
      <x:c r="P91" s="2"/>
      <x:c r="Q91" s="2"/>
    </x:row>
    <x:row r="92" ht="22" customHeight="1">
      <x:c r="A92" s="2"/>
      <x:c r="B92" s="2"/>
      <x:c r="C92" s="2"/>
      <x:c r="D92" s="3"/>
      <x:c r="E92" s="3"/>
      <x:c r="F92" s="3"/>
      <x:c r="G92" s="3"/>
      <x:c r="H92" s="3"/>
      <x:c r="I92" s="3"/>
      <x:c r="J92" s="2"/>
      <x:c r="K92" s="2"/>
      <x:c r="L92" s="2"/>
      <x:c r="M92" s="2"/>
      <x:c r="N92" s="2"/>
      <x:c r="O92" s="2"/>
      <x:c r="P92" s="2"/>
      <x:c r="Q92" s="2"/>
    </x:row>
    <x:row r="93" ht="22" customHeight="1">
      <x:c r="A93" s="2"/>
      <x:c r="B93" s="2"/>
      <x:c r="C93" s="2"/>
      <x:c r="D93" s="3"/>
      <x:c r="E93" s="3"/>
      <x:c r="F93" s="3"/>
      <x:c r="G93" s="3"/>
      <x:c r="H93" s="3"/>
      <x:c r="I93" s="3"/>
      <x:c r="J93" s="2"/>
      <x:c r="K93" s="2"/>
      <x:c r="L93" s="2"/>
      <x:c r="M93" s="2"/>
      <x:c r="N93" s="2"/>
      <x:c r="O93" s="2"/>
      <x:c r="P93" s="2"/>
      <x:c r="Q93" s="2"/>
    </x:row>
    <x:row r="94" ht="22" customHeight="1">
      <x:c r="A94" s="2"/>
      <x:c r="B94" s="2"/>
      <x:c r="C94" s="2"/>
      <x:c r="D94" s="3"/>
      <x:c r="E94" s="3"/>
      <x:c r="F94" s="3"/>
      <x:c r="G94" s="3"/>
      <x:c r="H94" s="3"/>
      <x:c r="I94" s="3"/>
      <x:c r="J94" s="2"/>
      <x:c r="K94" s="2"/>
      <x:c r="L94" s="2"/>
      <x:c r="M94" s="2"/>
      <x:c r="N94" s="2"/>
      <x:c r="O94" s="2"/>
      <x:c r="P94" s="2"/>
      <x:c r="Q94" s="2"/>
    </x:row>
    <x:row r="95" ht="22" customHeight="1">
      <x:c r="A95" s="2"/>
      <x:c r="B95" s="2"/>
      <x:c r="C95" s="2"/>
      <x:c r="D95" s="3"/>
      <x:c r="E95" s="3"/>
      <x:c r="F95" s="3"/>
      <x:c r="G95" s="3"/>
      <x:c r="H95" s="3"/>
      <x:c r="I95" s="3"/>
      <x:c r="J95" s="2"/>
      <x:c r="K95" s="2"/>
      <x:c r="L95" s="2"/>
      <x:c r="M95" s="2"/>
      <x:c r="N95" s="2"/>
      <x:c r="O95" s="2"/>
      <x:c r="P95" s="2"/>
      <x:c r="Q95" s="2"/>
    </x:row>
    <x:row r="96" ht="22" customHeight="1">
      <x:c r="A96" s="2"/>
      <x:c r="B96" s="2"/>
      <x:c r="C96" s="2"/>
      <x:c r="D96" s="3"/>
      <x:c r="E96" s="3"/>
      <x:c r="F96" s="3"/>
      <x:c r="G96" s="3"/>
      <x:c r="H96" s="3"/>
      <x:c r="I96" s="3"/>
      <x:c r="J96" s="2"/>
      <x:c r="K96" s="2"/>
      <x:c r="L96" s="2"/>
      <x:c r="M96" s="2"/>
      <x:c r="N96" s="2"/>
      <x:c r="O96" s="2"/>
      <x:c r="P96" s="2"/>
      <x:c r="Q96" s="2"/>
    </x:row>
    <x:row r="97" ht="22" customHeight="1">
      <x:c r="A97" s="2"/>
      <x:c r="B97" s="2"/>
      <x:c r="C97" s="2"/>
      <x:c r="D97" s="3"/>
      <x:c r="E97" s="3"/>
      <x:c r="F97" s="3"/>
      <x:c r="G97" s="3"/>
      <x:c r="H97" s="3"/>
      <x:c r="I97" s="3"/>
      <x:c r="J97" s="2"/>
      <x:c r="K97" s="2"/>
      <x:c r="L97" s="2"/>
      <x:c r="M97" s="2"/>
      <x:c r="N97" s="2"/>
      <x:c r="O97" s="2"/>
      <x:c r="P97" s="2"/>
      <x:c r="Q97" s="2"/>
    </x:row>
    <x:row r="98" ht="22" customHeight="1">
      <x:c r="A98" s="2"/>
      <x:c r="B98" s="2"/>
      <x:c r="C98" s="2"/>
      <x:c r="D98" s="3"/>
      <x:c r="E98" s="3"/>
      <x:c r="F98" s="3"/>
      <x:c r="G98" s="3"/>
      <x:c r="H98" s="3"/>
      <x:c r="I98" s="3"/>
      <x:c r="J98" s="2"/>
      <x:c r="K98" s="2"/>
      <x:c r="L98" s="2"/>
      <x:c r="M98" s="2"/>
      <x:c r="N98" s="2"/>
      <x:c r="O98" s="2"/>
      <x:c r="P98" s="2"/>
      <x:c r="Q98" s="2"/>
    </x:row>
    <x:row r="99" ht="22" customHeight="1">
      <x:c r="A99" s="2"/>
      <x:c r="B99" s="2"/>
      <x:c r="C99" s="2"/>
      <x:c r="D99" s="3"/>
      <x:c r="E99" s="3"/>
      <x:c r="F99" s="3"/>
      <x:c r="G99" s="3"/>
      <x:c r="H99" s="3"/>
      <x:c r="I99" s="3"/>
      <x:c r="J99" s="2"/>
      <x:c r="K99" s="2"/>
      <x:c r="L99" s="2"/>
      <x:c r="M99" s="2"/>
      <x:c r="N99" s="2"/>
      <x:c r="O99" s="2"/>
      <x:c r="P99" s="2"/>
      <x:c r="Q99" s="2"/>
    </x:row>
    <x:row r="100" ht="22" customHeight="1">
      <x:c r="A100" s="2"/>
      <x:c r="B100" s="2"/>
      <x:c r="C100" s="2"/>
      <x:c r="D100" s="3"/>
      <x:c r="E100" s="3"/>
      <x:c r="F100" s="3"/>
      <x:c r="G100" s="3"/>
      <x:c r="H100" s="3"/>
      <x:c r="I100" s="3"/>
      <x:c r="J100" s="2"/>
      <x:c r="K100" s="2"/>
      <x:c r="L100" s="2"/>
      <x:c r="M100" s="2"/>
      <x:c r="N100" s="2"/>
      <x:c r="O100" s="2"/>
      <x:c r="P100" s="2"/>
      <x:c r="Q100" s="2"/>
    </x:row>
    <x:row r="101" ht="22" customHeight="1">
      <x:c r="A101" s="2"/>
      <x:c r="B101" s="2"/>
      <x:c r="C101" s="2"/>
      <x:c r="D101" s="3"/>
      <x:c r="E101" s="3"/>
      <x:c r="F101" s="3"/>
      <x:c r="G101" s="3"/>
      <x:c r="H101" s="3"/>
      <x:c r="I101" s="3"/>
      <x:c r="J101" s="2"/>
      <x:c r="K101" s="2"/>
      <x:c r="L101" s="2"/>
      <x:c r="M101" s="2"/>
      <x:c r="N101" s="2"/>
      <x:c r="O101" s="2"/>
      <x:c r="P101" s="2"/>
      <x:c r="Q101" s="2"/>
    </x:row>
    <x:row r="102" ht="22" customHeight="1">
      <x:c r="A102" s="2"/>
      <x:c r="B102" s="2"/>
      <x:c r="C102" s="2"/>
      <x:c r="D102" s="3"/>
      <x:c r="E102" s="3"/>
      <x:c r="F102" s="3"/>
      <x:c r="G102" s="3"/>
      <x:c r="H102" s="3"/>
      <x:c r="I102" s="3"/>
      <x:c r="J102" s="2"/>
      <x:c r="K102" s="2"/>
      <x:c r="L102" s="2"/>
      <x:c r="M102" s="2"/>
      <x:c r="N102" s="2"/>
      <x:c r="O102" s="2"/>
      <x:c r="P102" s="2"/>
      <x:c r="Q102" s="2"/>
    </x:row>
    <x:row r="103" ht="22" customHeight="1">
      <x:c r="A103" s="2"/>
      <x:c r="B103" s="2"/>
      <x:c r="C103" s="2"/>
      <x:c r="D103" s="3"/>
      <x:c r="E103" s="3"/>
      <x:c r="F103" s="3"/>
      <x:c r="G103" s="3"/>
      <x:c r="H103" s="3"/>
      <x:c r="I103" s="3"/>
      <x:c r="J103" s="2"/>
      <x:c r="K103" s="2"/>
      <x:c r="L103" s="2"/>
      <x:c r="M103" s="2"/>
      <x:c r="N103" s="2"/>
      <x:c r="O103" s="2"/>
      <x:c r="P103" s="2"/>
      <x:c r="Q103" s="2"/>
    </x:row>
    <x:row r="104" ht="22" customHeight="1">
      <x:c r="A104" s="2"/>
      <x:c r="B104" s="2"/>
      <x:c r="C104" s="2"/>
      <x:c r="D104" s="3"/>
      <x:c r="E104" s="3"/>
      <x:c r="F104" s="3"/>
      <x:c r="G104" s="3"/>
      <x:c r="H104" s="3"/>
      <x:c r="I104" s="3"/>
      <x:c r="J104" s="2"/>
      <x:c r="K104" s="2"/>
      <x:c r="L104" s="2"/>
      <x:c r="M104" s="2"/>
      <x:c r="N104" s="2"/>
      <x:c r="O104" s="2"/>
      <x:c r="P104" s="2"/>
      <x:c r="Q104" s="2"/>
    </x:row>
    <x:row r="105" ht="22" customHeight="1">
      <x:c r="A105" s="2"/>
      <x:c r="B105" s="2"/>
      <x:c r="C105" s="2"/>
      <x:c r="D105" s="3"/>
      <x:c r="E105" s="3"/>
      <x:c r="F105" s="3"/>
      <x:c r="G105" s="3"/>
      <x:c r="H105" s="3"/>
      <x:c r="I105" s="3"/>
      <x:c r="J105" s="2"/>
      <x:c r="K105" s="2"/>
      <x:c r="L105" s="2"/>
      <x:c r="M105" s="2"/>
      <x:c r="N105" s="2"/>
      <x:c r="O105" s="2"/>
      <x:c r="P105" s="2"/>
      <x:c r="Q105" s="2"/>
    </x:row>
    <x:row r="106" ht="22" customHeight="1">
      <x:c r="A106" s="2"/>
      <x:c r="B106" s="2"/>
      <x:c r="C106" s="2"/>
      <x:c r="D106" s="3"/>
      <x:c r="E106" s="3"/>
      <x:c r="F106" s="3"/>
      <x:c r="G106" s="3"/>
      <x:c r="H106" s="3"/>
      <x:c r="I106" s="3"/>
      <x:c r="J106" s="2"/>
      <x:c r="K106" s="2"/>
      <x:c r="L106" s="2"/>
      <x:c r="M106" s="2"/>
      <x:c r="N106" s="2"/>
      <x:c r="O106" s="2"/>
      <x:c r="P106" s="2"/>
      <x:c r="Q106" s="2"/>
    </x:row>
    <x:row r="107" ht="22" customHeight="1">
      <x:c r="A107" s="2"/>
      <x:c r="B107" s="2"/>
      <x:c r="C107" s="2"/>
      <x:c r="D107" s="3"/>
      <x:c r="E107" s="3"/>
      <x:c r="F107" s="3"/>
      <x:c r="G107" s="3"/>
      <x:c r="H107" s="3"/>
      <x:c r="I107" s="3"/>
      <x:c r="J107" s="2"/>
      <x:c r="K107" s="2"/>
      <x:c r="L107" s="2"/>
      <x:c r="M107" s="2"/>
      <x:c r="N107" s="2"/>
      <x:c r="O107" s="2"/>
      <x:c r="P107" s="2"/>
      <x:c r="Q107" s="2"/>
    </x:row>
    <x:row r="108" ht="22" customHeight="1">
      <x:c r="A108" s="2"/>
      <x:c r="B108" s="2"/>
      <x:c r="C108" s="2"/>
      <x:c r="D108" s="3"/>
      <x:c r="E108" s="3"/>
      <x:c r="F108" s="3"/>
      <x:c r="G108" s="3"/>
      <x:c r="H108" s="3"/>
      <x:c r="I108" s="3"/>
      <x:c r="J108" s="2"/>
      <x:c r="K108" s="2"/>
      <x:c r="L108" s="2"/>
      <x:c r="M108" s="2"/>
      <x:c r="N108" s="2"/>
      <x:c r="O108" s="2"/>
      <x:c r="P108" s="2"/>
      <x:c r="Q108" s="2"/>
    </x:row>
    <x:row r="109" ht="22" customHeight="1">
      <x:c r="A109" s="2"/>
      <x:c r="B109" s="2"/>
      <x:c r="C109" s="2"/>
      <x:c r="D109" s="3"/>
      <x:c r="E109" s="3"/>
      <x:c r="F109" s="3"/>
      <x:c r="G109" s="3"/>
      <x:c r="H109" s="3"/>
      <x:c r="I109" s="3"/>
      <x:c r="J109" s="2"/>
      <x:c r="K109" s="2"/>
      <x:c r="L109" s="2"/>
      <x:c r="M109" s="2"/>
      <x:c r="N109" s="2"/>
      <x:c r="O109" s="2"/>
      <x:c r="P109" s="2"/>
      <x:c r="Q109" s="2"/>
    </x:row>
    <x:row r="110" ht="22" customHeight="1">
      <x:c r="A110" s="2"/>
      <x:c r="B110" s="2"/>
      <x:c r="C110" s="2"/>
      <x:c r="D110" s="3"/>
      <x:c r="E110" s="3"/>
      <x:c r="F110" s="3"/>
      <x:c r="G110" s="3"/>
      <x:c r="H110" s="3"/>
      <x:c r="I110" s="3"/>
      <x:c r="J110" s="2"/>
      <x:c r="K110" s="2"/>
      <x:c r="L110" s="2"/>
      <x:c r="M110" s="2"/>
      <x:c r="N110" s="2"/>
      <x:c r="O110" s="2"/>
      <x:c r="P110" s="2"/>
      <x:c r="Q110" s="2"/>
    </x:row>
    <x:row r="111" ht="22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 ht="22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 ht="22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 ht="22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 ht="22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 ht="22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 ht="22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 ht="22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 ht="22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 ht="22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3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2" customHeight="1">
      <x:c r="A2" s="2"/>
      <x:c r="B2" s="2"/>
      <x:c r="C2" s="4" t="str">
        <x:v>Operating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</x:row>
    <x:row r="3" ht="22" customHeight="1">
      <x:c r="A3" s="2"/>
      <x:c r="B3" s="2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</x:row>
    <x:row r="4" ht="22" customHeight="1">
      <x:c r="A4" s="2"/>
      <x:c r="B4" s="2"/>
      <x:c r="C4" s="2" t="str">
        <x:v>USD millions | FY2025 historical; 2026–2030 forecast</x:v>
      </x:c>
      <x:c r="D4" s="2"/>
      <x:c r="E4" s="2"/>
      <x:c r="F4" s="2"/>
      <x:c r="G4" s="2"/>
      <x:c r="H4" s="2"/>
      <x:c r="I4" s="2"/>
      <x:c r="J4" s="2"/>
      <x:c r="K4" s="2" t="str">
        <x:v>Case Selected:</x:v>
      </x:c>
      <x:c r="L4" s="8" t="str">
        <x:f>CHOOSE(Assumptions!$D$5,"Base","Upside","Downside")</x:f>
        <x:v>Base</x:v>
      </x:c>
      <x:c r="M4" s="2"/>
      <x:c r="N4" s="2"/>
      <x:c r="O4" s="2"/>
      <x:c r="P4" s="2"/>
      <x:c r="Q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2" customHeight="1">
      <x:c r="A6" s="2"/>
      <x:c r="B6" s="2"/>
      <x:c r="C6" s="13"/>
      <x:c r="D6" s="46" t="n">
        <x:v>2026</x:v>
      </x:c>
      <x:c r="E6" s="46" t="n">
        <x:v>2027</x:v>
      </x:c>
      <x:c r="F6" s="46" t="n">
        <x:v>2028</x:v>
      </x:c>
      <x:c r="G6" s="46" t="n">
        <x:v>2029</x:v>
      </x:c>
      <x:c r="H6" s="46" t="n">
        <x:v>2030</x:v>
      </x:c>
      <x:c r="I6" s="14"/>
      <x:c r="J6" s="2"/>
      <x:c r="K6" s="2"/>
      <x:c r="L6" s="2"/>
      <x:c r="M6" s="2"/>
      <x:c r="N6" s="2"/>
      <x:c r="O6" s="2"/>
      <x:c r="P6" s="2"/>
      <x:c r="Q6" s="2"/>
    </x:row>
    <x:row r="7" ht="22" customHeight="1">
      <x:c r="A7" s="2"/>
      <x:c r="B7" s="2"/>
      <x:c r="C7" s="2" t="str">
        <x:v>Rooms revenue</x:v>
      </x:c>
      <x:c r="D7" s="26" t="n">
        <x:f>Historical!$F$7*(1+Assumptions!D44)</x:f>
        <x:v>1557.675</x:v>
      </x:c>
      <x:c r="E7" s="26" t="n">
        <x:f>D7*(1+Assumptions!E44)</x:f>
        <x:v>1619.982</x:v>
      </x:c>
      <x:c r="F7" s="26" t="n">
        <x:f>E7*(1+Assumptions!F44)</x:f>
        <x:v>1668.58146</x:v>
      </x:c>
      <x:c r="G7" s="26" t="n">
        <x:f>F7*(1+Assumptions!G44)</x:f>
        <x:v>1710.2959965</x:v>
      </x:c>
      <x:c r="H7" s="26" t="n">
        <x:f>G7*(1+Assumptions!H44)</x:f>
        <x:v>1753.0533964124998</x:v>
      </x:c>
      <x:c r="I7" s="3"/>
      <x:c r="J7" s="2"/>
      <x:c r="K7" s="2"/>
      <x:c r="L7" s="2"/>
      <x:c r="M7" s="2"/>
      <x:c r="N7" s="2"/>
      <x:c r="O7" s="2"/>
      <x:c r="P7" s="2"/>
      <x:c r="Q7" s="2"/>
    </x:row>
    <x:row r="8" ht="22" customHeight="1">
      <x:c r="A8" s="2"/>
      <x:c r="B8" s="2"/>
      <x:c r="C8" s="2" t="str">
        <x:v>Food and beverage</x:v>
      </x:c>
      <x:c r="D8" s="26" t="n">
        <x:f>Historical!$F$8*(1+Assumptions!D49)</x:f>
        <x:v>702.1249999999999</x:v>
      </x:c>
      <x:c r="E8" s="26" t="n">
        <x:f>D8*(1+Assumptions!E49)</x:f>
        <x:v>723.1887499999999</x:v>
      </x:c>
      <x:c r="F8" s="26" t="n">
        <x:f>E8*(1+Assumptions!F49)</x:f>
        <x:v>741.2684687499999</x:v>
      </x:c>
      <x:c r="G8" s="26" t="n">
        <x:f>F8*(1+Assumptions!G49)</x:f>
        <x:v>759.8001804687498</x:v>
      </x:c>
      <x:c r="H8" s="26" t="n">
        <x:f>G8*(1+Assumptions!H49)</x:f>
        <x:v>778.7951849804684</x:v>
      </x:c>
      <x:c r="I8" s="3"/>
      <x:c r="J8" s="2"/>
      <x:c r="K8" s="2"/>
      <x:c r="L8" s="2"/>
      <x:c r="M8" s="2"/>
      <x:c r="N8" s="2"/>
      <x:c r="O8" s="2"/>
      <x:c r="P8" s="2"/>
      <x:c r="Q8" s="2"/>
    </x:row>
    <x:row r="9" ht="22" customHeight="1">
      <x:c r="A9" s="2"/>
      <x:c r="B9" s="2"/>
      <x:c r="C9" s="2" t="str">
        <x:v>Ancillary hotel revenue</x:v>
      </x:c>
      <x:c r="D9" s="26" t="n">
        <x:f>Historical!$F$9*(1+Assumptions!D54)</x:f>
        <x:v>265.47499999999997</x:v>
      </x:c>
      <x:c r="E9" s="26" t="n">
        <x:f>D9*(1+Assumptions!E54)</x:f>
        <x:v>272.11187499999994</x:v>
      </x:c>
      <x:c r="F9" s="26" t="n">
        <x:f>E9*(1+Assumptions!F54)</x:f>
        <x:v>278.9146718749999</x:v>
      </x:c>
      <x:c r="G9" s="26" t="n">
        <x:f>F9*(1+Assumptions!G54)</x:f>
        <x:v>285.8875386718749</x:v>
      </x:c>
      <x:c r="H9" s="26" t="n">
        <x:f>G9*(1+Assumptions!H54)</x:f>
        <x:v>293.0347271386717</x:v>
      </x:c>
      <x:c r="I9" s="3"/>
      <x:c r="J9" s="2"/>
      <x:c r="K9" s="2"/>
      <x:c r="L9" s="2"/>
      <x:c r="M9" s="2"/>
      <x:c r="N9" s="2"/>
      <x:c r="O9" s="2"/>
      <x:c r="P9" s="2"/>
      <x:c r="Q9" s="2"/>
    </x:row>
    <x:row r="10" ht="22" customHeight="1">
      <x:c r="A10" s="2"/>
      <x:c r="B10" s="2"/>
      <x:c r="C10" s="2" t="str">
        <x:v>Other revenue</x:v>
      </x:c>
      <x:c r="D10" s="26" t="n">
        <x:f>Historical!$F$10*(1+Assumptions!D54)</x:f>
        <x:v>94.3</x:v>
      </x:c>
      <x:c r="E10" s="26" t="n">
        <x:f>D10*(1+Assumptions!E54)</x:f>
        <x:v>96.65749999999998</x:v>
      </x:c>
      <x:c r="F10" s="26" t="n">
        <x:f>E10*(1+Assumptions!F54)</x:f>
        <x:v>99.07393749999997</x:v>
      </x:c>
      <x:c r="G10" s="26" t="n">
        <x:f>F10*(1+Assumptions!G54)</x:f>
        <x:v>101.55078593749997</x:v>
      </x:c>
      <x:c r="H10" s="26" t="n">
        <x:f>G10*(1+Assumptions!H54)</x:f>
        <x:v>104.08955558593746</x:v>
      </x:c>
      <x:c r="I10" s="3"/>
      <x:c r="J10" s="2"/>
      <x:c r="K10" s="2"/>
      <x:c r="L10" s="2"/>
      <x:c r="M10" s="2"/>
      <x:c r="N10" s="2"/>
      <x:c r="O10" s="2"/>
      <x:c r="P10" s="2"/>
      <x:c r="Q10" s="2"/>
    </x:row>
    <x:row r="11" ht="22" customHeight="1">
      <x:c r="A11" s="2"/>
      <x:c r="B11" s="2"/>
      <x:c r="C11" s="2" t="str">
        <x:v>Total revenue</x:v>
      </x:c>
      <x:c r="D11" s="27" t="n">
        <x:f>SUM(D7:D10)</x:f>
        <x:v>2619.575</x:v>
      </x:c>
      <x:c r="E11" s="27" t="n">
        <x:f>SUM(E7:E10)</x:f>
        <x:v>2711.9401249999996</x:v>
      </x:c>
      <x:c r="F11" s="27" t="n">
        <x:f>SUM(F7:F10)</x:f>
        <x:v>2787.8385381249996</x:v>
      </x:c>
      <x:c r="G11" s="27" t="n">
        <x:f>SUM(G7:G10)</x:f>
        <x:v>2857.5345015781245</x:v>
      </x:c>
      <x:c r="H11" s="27" t="n">
        <x:f>SUM(H7:H10)</x:f>
        <x:v>2928.9728641175775</x:v>
      </x:c>
      <x:c r="I11" s="3"/>
      <x:c r="J11" s="2"/>
      <x:c r="K11" s="2"/>
      <x:c r="L11" s="2"/>
      <x:c r="M11" s="2"/>
      <x:c r="N11" s="2"/>
      <x:c r="O11" s="2"/>
      <x:c r="P11" s="2"/>
      <x:c r="Q11" s="2"/>
    </x:row>
    <x:row r="12" ht="22" customHeight="1">
      <x:c r="A12" s="2"/>
      <x:c r="B12" s="2"/>
      <x:c r="C12" s="2" t="str">
        <x:v>EBITDA margin before event</x:v>
      </x:c>
      <x:c r="D12" s="29" t="n">
        <x:f>Assumptions!D59</x:f>
        <x:v>0.245</x:v>
      </x:c>
      <x:c r="E12" s="29" t="n">
        <x:f>Assumptions!E59</x:f>
        <x:v>0.255</x:v>
      </x:c>
      <x:c r="F12" s="29" t="n">
        <x:f>Assumptions!F59</x:f>
        <x:v>0.265</x:v>
      </x:c>
      <x:c r="G12" s="29" t="n">
        <x:f>Assumptions!G59</x:f>
        <x:v>0.27</x:v>
      </x:c>
      <x:c r="H12" s="29" t="n">
        <x:f>Assumptions!H59</x:f>
        <x:v>0.27</x:v>
      </x:c>
      <x:c r="I12" s="3"/>
      <x:c r="J12" s="2"/>
      <x:c r="K12" s="2"/>
      <x:c r="L12" s="2"/>
      <x:c r="M12" s="2"/>
      <x:c r="N12" s="2"/>
      <x:c r="O12" s="2"/>
      <x:c r="P12" s="2"/>
      <x:c r="Q12" s="2"/>
    </x:row>
    <x:row r="13" ht="22" customHeight="1">
      <x:c r="A13" s="2"/>
      <x:c r="B13" s="2"/>
      <x:c r="C13" s="2" t="str">
        <x:v>EBITDA before insured event</x:v>
      </x:c>
      <x:c r="D13" s="27" t="n">
        <x:f>D11*D12</x:f>
        <x:v>641.7958749999999</x:v>
      </x:c>
      <x:c r="E13" s="27" t="n">
        <x:f>E11*E12</x:f>
        <x:v>691.5447318749999</x:v>
      </x:c>
      <x:c r="F13" s="27" t="n">
        <x:f>F11*F12</x:f>
        <x:v>738.7772126031249</x:v>
      </x:c>
      <x:c r="G13" s="27" t="n">
        <x:f>G11*G12</x:f>
        <x:v>771.5343154260937</x:v>
      </x:c>
      <x:c r="H13" s="27" t="n">
        <x:f>H11*H12</x:f>
        <x:v>790.822673311746</x:v>
      </x:c>
      <x:c r="I13" s="3"/>
      <x:c r="J13" s="2"/>
      <x:c r="K13" s="2"/>
      <x:c r="L13" s="2"/>
      <x:c r="M13" s="2"/>
      <x:c r="N13" s="2"/>
      <x:c r="O13" s="2"/>
      <x:c r="P13" s="2"/>
      <x:c r="Q13" s="2"/>
    </x:row>
    <x:row r="14" ht="22" customHeight="1">
      <x:c r="A14" s="2"/>
      <x:c r="B14" s="2"/>
      <x:c r="C14" s="2" t="str">
        <x:v>Incremental retained loss / premium</x:v>
      </x:c>
      <x:c r="D14" s="26" t="n">
        <x:f>Assumptions!D79*Insurance!$D$22</x:f>
        <x:v>0</x:v>
      </x:c>
      <x:c r="E14" s="26" t="n">
        <x:f>Assumptions!E79*Insurance!$D$22</x:f>
        <x:v>0</x:v>
      </x:c>
      <x:c r="F14" s="26" t="n">
        <x:f>Assumptions!F79*Insurance!$D$22</x:f>
        <x:v>0</x:v>
      </x:c>
      <x:c r="G14" s="26" t="n">
        <x:f>Assumptions!G79*Insurance!$D$22</x:f>
        <x:v>0</x:v>
      </x:c>
      <x:c r="H14" s="26" t="n">
        <x:f>Assumptions!H79*Insurance!$D$22</x:f>
        <x:v>0</x:v>
      </x:c>
      <x:c r="I14" s="3"/>
      <x:c r="J14" s="2"/>
      <x:c r="K14" s="2"/>
      <x:c r="L14" s="2"/>
      <x:c r="M14" s="2"/>
      <x:c r="N14" s="2"/>
      <x:c r="O14" s="2"/>
      <x:c r="P14" s="2"/>
      <x:c r="Q14" s="2"/>
    </x:row>
    <x:row r="15" ht="22" customHeight="1">
      <x:c r="A15" s="2"/>
      <x:c r="B15" s="2"/>
      <x:c r="C15" s="2" t="str">
        <x:v>Modeled EBITDA</x:v>
      </x:c>
      <x:c r="D15" s="27" t="n">
        <x:f>D13-D14</x:f>
        <x:v>641.7958749999999</x:v>
      </x:c>
      <x:c r="E15" s="27" t="n">
        <x:f>E13-E14</x:f>
        <x:v>691.5447318749999</x:v>
      </x:c>
      <x:c r="F15" s="27" t="n">
        <x:f>F13-F14</x:f>
        <x:v>738.7772126031249</x:v>
      </x:c>
      <x:c r="G15" s="27" t="n">
        <x:f>G13-G14</x:f>
        <x:v>771.5343154260937</x:v>
      </x:c>
      <x:c r="H15" s="27" t="n">
        <x:f>H13-H14</x:f>
        <x:v>790.822673311746</x:v>
      </x:c>
      <x:c r="I15" s="3"/>
      <x:c r="J15" s="2"/>
      <x:c r="K15" s="2"/>
      <x:c r="L15" s="2"/>
      <x:c r="M15" s="2"/>
      <x:c r="N15" s="2"/>
      <x:c r="O15" s="2"/>
      <x:c r="P15" s="2"/>
      <x:c r="Q15" s="2"/>
    </x:row>
    <x:row r="16" ht="22" customHeight="1">
      <x:c r="A16" s="2"/>
      <x:c r="B16" s="2"/>
      <x:c r="C16" s="2" t="str">
        <x:v>Capital expenditures</x:v>
      </x:c>
      <x:c r="D16" s="26" t="n">
        <x:f>D11*Assumptions!D64</x:f>
        <x:v>288.15324999999996</x:v>
      </x:c>
      <x:c r="E16" s="26" t="n">
        <x:f>E11*Assumptions!E64</x:f>
        <x:v>244.07461124999995</x:v>
      </x:c>
      <x:c r="F16" s="26" t="n">
        <x:f>F11*Assumptions!F64</x:f>
        <x:v>209.08789035937497</x:v>
      </x:c>
      <x:c r="G16" s="26" t="n">
        <x:f>G11*Assumptions!G64</x:f>
        <x:v>200.02741511046872</x:v>
      </x:c>
      <x:c r="H16" s="26" t="n">
        <x:f>H11*Assumptions!H64</x:f>
        <x:v>205.02810048823045</x:v>
      </x:c>
      <x:c r="I16" s="3"/>
      <x:c r="J16" s="2"/>
      <x:c r="K16" s="2"/>
      <x:c r="L16" s="2"/>
      <x:c r="M16" s="2"/>
      <x:c r="N16" s="2"/>
      <x:c r="O16" s="2"/>
      <x:c r="P16" s="2"/>
      <x:c r="Q16" s="2"/>
    </x:row>
    <x:row r="17" ht="22" customHeight="1">
      <x:c r="A17" s="2"/>
      <x:c r="B17" s="2"/>
      <x:c r="C17" s="2" t="str">
        <x:v>Depreciation and amortization</x:v>
      </x:c>
      <x:c r="D17" s="26" t="n">
        <x:f>MIN(Transaction!$D$20+D16,Transaction!$D$20/Assumptions!$D$27+D16/(2*Assumptions!$D$28))</x:f>
        <x:v>276.3051083333333</x:v>
      </x:c>
      <x:c r="E17" s="26" t="n">
        <x:f>MIN(Statements!D22+E16,Transaction!$D$20/Assumptions!$D$27+SUM($D$16:D16)/Assumptions!$D$28+E16/(2*Assumptions!$D$28))</x:f>
        <x:v>294.04603704166664</x:v>
      </x:c>
      <x:c r="F17" s="26" t="n">
        <x:f>MIN(Statements!E22+F16,Transaction!$D$20/Assumptions!$D$27+SUM($D$16:E16)/Assumptions!$D$28+F16/(2*Assumptions!$D$28))</x:f>
        <x:v>309.15145376197916</x:v>
      </x:c>
      <x:c r="G17" s="26" t="n">
        <x:f>MIN(Statements!F22+G16,Transaction!$D$20/Assumptions!$D$27+SUM($D$16:F16)/Assumptions!$D$28+G16/(2*Assumptions!$D$28))</x:f>
        <x:v>322.78863061097394</x:v>
      </x:c>
      <x:c r="H17" s="26" t="n">
        <x:f>MIN(Statements!G22+H16,Transaction!$D$20/Assumptions!$D$27+SUM($D$16:G16)/Assumptions!$D$28+H16/(2*Assumptions!$D$28))</x:f>
        <x:v>336.2904811309306</x:v>
      </x:c>
      <x:c r="I17" s="3"/>
      <x:c r="J17" s="2"/>
      <x:c r="K17" s="2"/>
      <x:c r="L17" s="2"/>
      <x:c r="M17" s="2"/>
      <x:c r="N17" s="2"/>
      <x:c r="O17" s="2"/>
      <x:c r="P17" s="2"/>
      <x:c r="Q17" s="2"/>
    </x:row>
    <x:row r="18" ht="22" customHeight="1">
      <x:c r="A18" s="2"/>
      <x:c r="B18" s="2"/>
      <x:c r="C18" s="2" t="str">
        <x:v>EBIT</x:v>
      </x:c>
      <x:c r="D18" s="27" t="n">
        <x:f>D15-D17</x:f>
        <x:v>365.4907666666666</x:v>
      </x:c>
      <x:c r="E18" s="27" t="n">
        <x:f>E15-E17</x:f>
        <x:v>397.4986948333333</x:v>
      </x:c>
      <x:c r="F18" s="27" t="n">
        <x:f>F15-F17</x:f>
        <x:v>429.62575884114574</x:v>
      </x:c>
      <x:c r="G18" s="27" t="n">
        <x:f>G15-G17</x:f>
        <x:v>448.7456848151198</x:v>
      </x:c>
      <x:c r="H18" s="27" t="n">
        <x:f>H15-H17</x:f>
        <x:v>454.53219218081546</x:v>
      </x:c>
      <x:c r="I18" s="3"/>
      <x:c r="J18" s="2"/>
      <x:c r="K18" s="2"/>
      <x:c r="L18" s="2"/>
      <x:c r="M18" s="2"/>
      <x:c r="N18" s="2"/>
      <x:c r="O18" s="2"/>
      <x:c r="P18" s="2"/>
      <x:c r="Q18" s="2"/>
    </x:row>
    <x:row r="19" ht="22" customHeight="1">
      <x:c r="A19" s="2"/>
      <x:c r="B19" s="2"/>
      <x:c r="C19" s="2" t="str">
        <x:v>Cash interest</x:v>
      </x:c>
      <x:c r="D19" s="26" t="n">
        <x:f>Debt!D12</x:f>
        <x:v>223.80749999999998</x:v>
      </x:c>
      <x:c r="E19" s="26" t="n">
        <x:f>Debt!E12</x:f>
        <x:v>217.73408578124997</x:v>
      </x:c>
      <x:c r="F19" s="26" t="n">
        <x:f>Debt!F12</x:f>
        <x:v>205.37226278452147</x:v>
      </x:c>
      <x:c r="G19" s="26" t="n">
        <x:f>Debt!G12</x:f>
        <x:v>186.7993550847571</x:v>
      </x:c>
      <x:c r="H19" s="26" t="n">
        <x:f>Debt!H12</x:f>
        <x:v>163.82770012575864</x:v>
      </x:c>
      <x:c r="I19" s="3"/>
      <x:c r="J19" s="2"/>
      <x:c r="K19" s="2"/>
      <x:c r="L19" s="2"/>
      <x:c r="M19" s="2"/>
      <x:c r="N19" s="2"/>
      <x:c r="O19" s="2"/>
      <x:c r="P19" s="2"/>
      <x:c r="Q19" s="2"/>
    </x:row>
    <x:row r="20" ht="22" customHeight="1">
      <x:c r="A20" s="2"/>
      <x:c r="B20" s="2"/>
      <x:c r="C20" s="2" t="str">
        <x:v>Income before tax</x:v>
      </x:c>
      <x:c r="D20" s="27" t="n">
        <x:f>D18-D19</x:f>
        <x:v>141.68326666666664</x:v>
      </x:c>
      <x:c r="E20" s="27" t="n">
        <x:f>E18-E19</x:f>
        <x:v>179.7646090520833</x:v>
      </x:c>
      <x:c r="F20" s="27" t="n">
        <x:f>F18-F19</x:f>
        <x:v>224.25349605662427</x:v>
      </x:c>
      <x:c r="G20" s="27" t="n">
        <x:f>G18-G19</x:f>
        <x:v>261.94632973036266</x:v>
      </x:c>
      <x:c r="H20" s="27" t="n">
        <x:f>H18-H19</x:f>
        <x:v>290.7044920550568</x:v>
      </x:c>
      <x:c r="I20" s="3"/>
      <x:c r="J20" s="2"/>
      <x:c r="K20" s="2"/>
      <x:c r="L20" s="2"/>
      <x:c r="M20" s="2"/>
      <x:c r="N20" s="2"/>
      <x:c r="O20" s="2"/>
      <x:c r="P20" s="2"/>
      <x:c r="Q20" s="2"/>
    </x:row>
    <x:row r="21" ht="22" customHeight="1">
      <x:c r="A21" s="2"/>
      <x:c r="B21" s="2"/>
      <x:c r="C21" s="2" t="str">
        <x:v>Cash tax expense</x:v>
      </x:c>
      <x:c r="D21" s="26" t="n">
        <x:f>MAX(D20,0)*Assumptions!$D$19</x:f>
        <x:v>35.42081666666666</x:v>
      </x:c>
      <x:c r="E21" s="26" t="n">
        <x:f>MAX(E20,0)*Assumptions!$D$19</x:f>
        <x:v>44.941152263020825</x:v>
      </x:c>
      <x:c r="F21" s="26" t="n">
        <x:f>MAX(F20,0)*Assumptions!$D$19</x:f>
        <x:v>56.06337401415607</x:v>
      </x:c>
      <x:c r="G21" s="26" t="n">
        <x:f>MAX(G20,0)*Assumptions!$D$19</x:f>
        <x:v>65.48658243259067</x:v>
      </x:c>
      <x:c r="H21" s="26" t="n">
        <x:f>MAX(H20,0)*Assumptions!$D$19</x:f>
        <x:v>72.6761230137642</x:v>
      </x:c>
      <x:c r="I21" s="3"/>
      <x:c r="J21" s="2"/>
      <x:c r="K21" s="2"/>
      <x:c r="L21" s="2"/>
      <x:c r="M21" s="2"/>
      <x:c r="N21" s="2"/>
      <x:c r="O21" s="2"/>
      <x:c r="P21" s="2"/>
      <x:c r="Q21" s="2"/>
    </x:row>
    <x:row r="22" ht="22" customHeight="1">
      <x:c r="A22" s="2"/>
      <x:c r="B22" s="2"/>
      <x:c r="C22" s="2" t="str">
        <x:v>Net income</x:v>
      </x:c>
      <x:c r="D22" s="27" t="n">
        <x:f>D20-D21</x:f>
        <x:v>106.26244999999997</x:v>
      </x:c>
      <x:c r="E22" s="27" t="n">
        <x:f>E20-E21</x:f>
        <x:v>134.82345678906248</x:v>
      </x:c>
      <x:c r="F22" s="27" t="n">
        <x:f>F20-F21</x:f>
        <x:v>168.1901220424682</x:v>
      </x:c>
      <x:c r="G22" s="27" t="n">
        <x:f>G20-G21</x:f>
        <x:v>196.459747297772</x:v>
      </x:c>
      <x:c r="H22" s="27" t="n">
        <x:f>H20-H21</x:f>
        <x:v>218.0283690412926</x:v>
      </x:c>
      <x:c r="I22" s="3"/>
      <x:c r="J22" s="2"/>
      <x:c r="K22" s="2"/>
      <x:c r="L22" s="2"/>
      <x:c r="M22" s="2"/>
      <x:c r="N22" s="2"/>
      <x:c r="O22" s="2"/>
      <x:c r="P22" s="2"/>
      <x:c r="Q22" s="2"/>
    </x:row>
    <x:row r="23" ht="22" customHeight="1">
      <x:c r="A23" s="2"/>
      <x:c r="B23" s="2"/>
      <x:c r="C23" s="2"/>
      <x:c r="D23" s="3"/>
      <x:c r="E23" s="3"/>
      <x:c r="F23" s="3"/>
      <x:c r="G23" s="3"/>
      <x:c r="H23" s="3"/>
      <x:c r="I23" s="3"/>
      <x:c r="J23" s="2"/>
      <x:c r="K23" s="2"/>
      <x:c r="L23" s="2"/>
      <x:c r="M23" s="2"/>
      <x:c r="N23" s="2"/>
      <x:c r="O23" s="2"/>
      <x:c r="P23" s="2"/>
      <x:c r="Q23" s="2"/>
    </x:row>
    <x:row r="24" ht="22" customHeight="1">
      <x:c r="A24" s="2"/>
      <x:c r="B24" s="2"/>
      <x:c r="C24" s="2" t="str">
        <x:v>Operating working capital</x:v>
      </x:c>
      <x:c r="D24" s="26" t="n">
        <x:f>D11*Assumptions!D69</x:f>
        <x:v>-157.1745</x:v>
      </x:c>
      <x:c r="E24" s="26" t="n">
        <x:f>E11*Assumptions!E69</x:f>
        <x:v>-162.71640749999997</x:v>
      </x:c>
      <x:c r="F24" s="26" t="n">
        <x:f>F11*Assumptions!F69</x:f>
        <x:v>-167.27031228749996</x:v>
      </x:c>
      <x:c r="G24" s="26" t="n">
        <x:f>G11*Assumptions!G69</x:f>
        <x:v>-171.45207009468746</x:v>
      </x:c>
      <x:c r="H24" s="26" t="n">
        <x:f>H11*Assumptions!H69</x:f>
        <x:v>-175.73837184705465</x:v>
      </x:c>
      <x:c r="I24" s="3"/>
      <x:c r="J24" s="2"/>
      <x:c r="K24" s="2"/>
      <x:c r="L24" s="2"/>
      <x:c r="M24" s="2"/>
      <x:c r="N24" s="2"/>
      <x:c r="O24" s="2"/>
      <x:c r="P24" s="2"/>
      <x:c r="Q24" s="2"/>
    </x:row>
    <x:row r="25" ht="22" customHeight="1">
      <x:c r="A25" s="2"/>
      <x:c r="B25" s="2"/>
      <x:c r="C25" s="2" t="str">
        <x:v>Change in working capital</x:v>
      </x:c>
      <x:c r="D25" s="26" t="n">
        <x:f>D24-(Historical!$D$50+Historical!$D$51-Historical!$D$55-Historical!$D$57)</x:f>
        <x:v>-1.1744999999999948</x:v>
      </x:c>
      <x:c r="E25" s="27" t="n">
        <x:f>E24-D24</x:f>
        <x:v>-5.541907499999979</x:v>
      </x:c>
      <x:c r="F25" s="27" t="n">
        <x:f>F24-E24</x:f>
        <x:v>-4.553904787499988</x:v>
      </x:c>
      <x:c r="G25" s="27" t="n">
        <x:f>G24-F24</x:f>
        <x:v>-4.181757807187495</x:v>
      </x:c>
      <x:c r="H25" s="27" t="n">
        <x:f>H24-G24</x:f>
        <x:v>-4.286301752367194</x:v>
      </x:c>
      <x:c r="I25" s="3"/>
      <x:c r="J25" s="2"/>
      <x:c r="K25" s="2"/>
      <x:c r="L25" s="2"/>
      <x:c r="M25" s="2"/>
      <x:c r="N25" s="2"/>
      <x:c r="O25" s="2"/>
      <x:c r="P25" s="2"/>
      <x:c r="Q25" s="2"/>
    </x:row>
    <x:row r="26" ht="22" customHeight="1">
      <x:c r="A26" s="2"/>
      <x:c r="B26" s="2"/>
      <x:c r="C26" s="2" t="str">
        <x:v>Cash from operations</x:v>
      </x:c>
      <x:c r="D26" s="27" t="n">
        <x:f>D22+D17-D25</x:f>
        <x:v>383.74205833333326</x:v>
      </x:c>
      <x:c r="E26" s="27" t="n">
        <x:f>E22+E17-E25</x:f>
        <x:v>434.41140133072906</x:v>
      </x:c>
      <x:c r="F26" s="27" t="n">
        <x:f>F22+F17-F25</x:f>
        <x:v>481.8954805919474</x:v>
      </x:c>
      <x:c r="G26" s="27" t="n">
        <x:f>G22+G17-G25</x:f>
        <x:v>523.4301357159335</x:v>
      </x:c>
      <x:c r="H26" s="27" t="n">
        <x:f>H22+H17-H25</x:f>
        <x:v>558.6051519245904</x:v>
      </x:c>
      <x:c r="I26" s="3"/>
      <x:c r="J26" s="2"/>
      <x:c r="K26" s="2"/>
      <x:c r="L26" s="2"/>
      <x:c r="M26" s="2"/>
      <x:c r="N26" s="2"/>
      <x:c r="O26" s="2"/>
      <x:c r="P26" s="2"/>
      <x:c r="Q26" s="2"/>
    </x:row>
    <x:row r="27" ht="22" customHeight="1">
      <x:c r="A27" s="2"/>
      <x:c r="B27" s="2"/>
      <x:c r="C27" s="2" t="str">
        <x:v>Investing cash flow</x:v>
      </x:c>
      <x:c r="D27" s="27" t="n">
        <x:f>-D16</x:f>
        <x:v>-288.15324999999996</x:v>
      </x:c>
      <x:c r="E27" s="27" t="n">
        <x:f>-E16</x:f>
        <x:v>-244.07461124999995</x:v>
      </x:c>
      <x:c r="F27" s="27" t="n">
        <x:f>-F16</x:f>
        <x:v>-209.08789035937497</x:v>
      </x:c>
      <x:c r="G27" s="27" t="n">
        <x:f>-G16</x:f>
        <x:v>-200.02741511046872</x:v>
      </x:c>
      <x:c r="H27" s="27" t="n">
        <x:f>-H16</x:f>
        <x:v>-205.02810048823045</x:v>
      </x:c>
      <x:c r="I27" s="3"/>
      <x:c r="J27" s="2"/>
      <x:c r="K27" s="2"/>
      <x:c r="L27" s="2"/>
      <x:c r="M27" s="2"/>
      <x:c r="N27" s="2"/>
      <x:c r="O27" s="2"/>
      <x:c r="P27" s="2"/>
      <x:c r="Q27" s="2"/>
    </x:row>
    <x:row r="28" ht="22" customHeight="1">
      <x:c r="A28" s="2"/>
      <x:c r="B28" s="2"/>
      <x:c r="C28" s="2" t="str">
        <x:v>Unlevered free cash flow</x:v>
      </x:c>
      <x:c r="D28" s="26" t="n">
        <x:f>D18-MAX(D18,0)*Assumptions!$D$19+D17-D16-D25</x:f>
        <x:v>263.44443333333334</x:v>
      </x:c>
      <x:c r="E28" s="26" t="n">
        <x:f>E18-MAX(E18,0)*Assumptions!$D$19+E17-E16-E25</x:f>
        <x:v>353.63735441666665</x:v>
      </x:c>
      <x:c r="F28" s="26" t="n">
        <x:f>F18-MAX(F18,0)*Assumptions!$D$19+F17-F16-F25</x:f>
        <x:v>426.8367873209635</x:v>
      </x:c>
      <x:c r="G28" s="26" t="n">
        <x:f>G18-MAX(G18,0)*Assumptions!$D$19+G17-G16-G25</x:f>
        <x:v>463.5022369190325</x:v>
      </x:c>
      <x:c r="H28" s="26" t="n">
        <x:f>H18-MAX(H18,0)*Assumptions!$D$19+H17-H16-H25</x:f>
        <x:v>476.4478265306789</x:v>
      </x:c>
      <x:c r="I28" s="3"/>
      <x:c r="J28" s="2"/>
      <x:c r="K28" s="2"/>
      <x:c r="L28" s="2"/>
      <x:c r="M28" s="2"/>
      <x:c r="N28" s="2"/>
      <x:c r="O28" s="2"/>
      <x:c r="P28" s="2"/>
      <x:c r="Q28" s="2"/>
    </x:row>
    <x:row r="29" ht="22" customHeight="1">
      <x:c r="A29" s="2"/>
      <x:c r="B29" s="2"/>
      <x:c r="C29" s="2"/>
      <x:c r="D29" s="3"/>
      <x:c r="E29" s="3"/>
      <x:c r="F29" s="3"/>
      <x:c r="G29" s="3"/>
      <x:c r="H29" s="3"/>
      <x:c r="I29" s="3"/>
      <x:c r="J29" s="2"/>
      <x:c r="K29" s="2"/>
      <x:c r="L29" s="2"/>
      <x:c r="M29" s="2"/>
      <x:c r="N29" s="2"/>
      <x:c r="O29" s="2"/>
      <x:c r="P29" s="2"/>
      <x:c r="Q29" s="2"/>
    </x:row>
    <x:row r="30" ht="22" customHeight="1">
      <x:c r="A30" s="2"/>
      <x:c r="B30" s="2"/>
      <x:c r="C30" s="2"/>
      <x:c r="D30" s="3"/>
      <x:c r="E30" s="3"/>
      <x:c r="F30" s="3"/>
      <x:c r="G30" s="3"/>
      <x:c r="H30" s="3"/>
      <x:c r="I30" s="3"/>
      <x:c r="J30" s="2"/>
      <x:c r="K30" s="2"/>
      <x:c r="L30" s="2"/>
      <x:c r="M30" s="2"/>
      <x:c r="N30" s="2"/>
      <x:c r="O30" s="2"/>
      <x:c r="P30" s="2"/>
      <x:c r="Q30" s="2"/>
    </x:row>
    <x:row r="31" ht="22" customHeight="1">
      <x:c r="A31" s="2"/>
      <x:c r="B31" s="2"/>
      <x:c r="C31" s="19" t="str">
        <x:v>Forecasts use normalized margins; historical non-GAAP EBITDA is the valuation anchor.</x:v>
      </x:c>
      <x:c r="D31" s="20"/>
      <x:c r="E31" s="20"/>
      <x:c r="F31" s="20"/>
      <x:c r="G31" s="20"/>
      <x:c r="H31" s="20"/>
      <x:c r="I31" s="20"/>
      <x:c r="J31" s="19"/>
      <x:c r="K31" s="19"/>
      <x:c r="L31" s="19"/>
      <x:c r="M31" s="19"/>
      <x:c r="N31" s="2"/>
      <x:c r="O31" s="2"/>
      <x:c r="P31" s="2"/>
      <x:c r="Q31" s="2"/>
    </x:row>
    <x:row r="32" ht="22" customHeight="1">
      <x:c r="A32" s="2"/>
      <x:c r="B32" s="2"/>
      <x:c r="C32" s="2"/>
      <x:c r="D32" s="3"/>
      <x:c r="E32" s="3"/>
      <x:c r="F32" s="3"/>
      <x:c r="G32" s="3"/>
      <x:c r="H32" s="3"/>
      <x:c r="I32" s="3"/>
      <x:c r="J32" s="2"/>
      <x:c r="K32" s="2"/>
      <x:c r="L32" s="2"/>
      <x:c r="M32" s="2"/>
      <x:c r="N32" s="2"/>
      <x:c r="O32" s="2"/>
      <x:c r="P32" s="2"/>
      <x:c r="Q32" s="2"/>
    </x:row>
    <x:row r="33" ht="22" customHeight="1">
      <x:c r="A33" s="2"/>
      <x:c r="B33" s="2"/>
      <x:c r="C33" s="19" t="str">
        <x:v>Taxable corporate case: 25% positive pretax income; no NOLs or interest-deduction limits modeled.</x:v>
      </x:c>
      <x:c r="D33" s="20"/>
      <x:c r="E33" s="20"/>
      <x:c r="F33" s="20"/>
      <x:c r="G33" s="20"/>
      <x:c r="H33" s="20"/>
      <x:c r="I33" s="20"/>
      <x:c r="J33" s="19"/>
      <x:c r="K33" s="19"/>
      <x:c r="L33" s="19"/>
      <x:c r="M33" s="19"/>
      <x:c r="N33" s="2"/>
      <x:c r="O33" s="2"/>
      <x:c r="P33" s="2"/>
      <x:c r="Q33" s="2"/>
    </x:row>
    <x:row r="34" ht="22" customHeight="1">
      <x:c r="A34" s="2"/>
      <x:c r="B34" s="2"/>
      <x:c r="C34" s="2"/>
      <x:c r="D34" s="3"/>
      <x:c r="E34" s="3"/>
      <x:c r="F34" s="3"/>
      <x:c r="G34" s="3"/>
      <x:c r="H34" s="3"/>
      <x:c r="I34" s="3"/>
      <x:c r="J34" s="2"/>
      <x:c r="K34" s="2"/>
      <x:c r="L34" s="2"/>
      <x:c r="M34" s="2"/>
      <x:c r="N34" s="2"/>
      <x:c r="O34" s="2"/>
      <x:c r="P34" s="2"/>
      <x:c r="Q34" s="2"/>
    </x:row>
    <x:row r="35" ht="22" customHeight="1">
      <x:c r="A35" s="2"/>
      <x:c r="B35" s="2"/>
      <x:c r="C35" s="2"/>
      <x:c r="D35" s="3"/>
      <x:c r="E35" s="3"/>
      <x:c r="F35" s="3"/>
      <x:c r="G35" s="3"/>
      <x:c r="H35" s="3"/>
      <x:c r="I35" s="3"/>
      <x:c r="J35" s="2"/>
      <x:c r="K35" s="2"/>
      <x:c r="L35" s="2"/>
      <x:c r="M35" s="2"/>
      <x:c r="N35" s="2"/>
      <x:c r="O35" s="2"/>
      <x:c r="P35" s="2"/>
      <x:c r="Q35" s="2"/>
    </x:row>
    <x:row r="36" ht="22" customHeight="1">
      <x:c r="A36" s="2"/>
      <x:c r="B36" s="2"/>
      <x:c r="C36" s="2"/>
      <x:c r="D36" s="3"/>
      <x:c r="E36" s="3"/>
      <x:c r="F36" s="3"/>
      <x:c r="G36" s="3"/>
      <x:c r="H36" s="3"/>
      <x:c r="I36" s="3"/>
      <x:c r="J36" s="2"/>
      <x:c r="K36" s="2"/>
      <x:c r="L36" s="2"/>
      <x:c r="M36" s="2"/>
      <x:c r="N36" s="2"/>
      <x:c r="O36" s="2"/>
      <x:c r="P36" s="2"/>
      <x:c r="Q36" s="2"/>
    </x:row>
    <x:row r="37" ht="22" customHeight="1">
      <x:c r="A37" s="2"/>
      <x:c r="B37" s="2"/>
      <x:c r="C37" s="2"/>
      <x:c r="D37" s="3"/>
      <x:c r="E37" s="3"/>
      <x:c r="F37" s="3"/>
      <x:c r="G37" s="3"/>
      <x:c r="H37" s="3"/>
      <x:c r="I37" s="3"/>
      <x:c r="J37" s="2"/>
      <x:c r="K37" s="2"/>
      <x:c r="L37" s="2"/>
      <x:c r="M37" s="2"/>
      <x:c r="N37" s="2"/>
      <x:c r="O37" s="2"/>
      <x:c r="P37" s="2"/>
      <x:c r="Q37" s="2"/>
    </x:row>
    <x:row r="38" ht="22" customHeight="1">
      <x:c r="A38" s="2"/>
      <x:c r="B38" s="2"/>
      <x:c r="C38" s="2"/>
      <x:c r="D38" s="3"/>
      <x:c r="E38" s="3"/>
      <x:c r="F38" s="3"/>
      <x:c r="G38" s="3"/>
      <x:c r="H38" s="3"/>
      <x:c r="I38" s="3"/>
      <x:c r="J38" s="2"/>
      <x:c r="K38" s="2"/>
      <x:c r="L38" s="2"/>
      <x:c r="M38" s="2"/>
      <x:c r="N38" s="2"/>
      <x:c r="O38" s="2"/>
      <x:c r="P38" s="2"/>
      <x:c r="Q38" s="2"/>
    </x:row>
    <x:row r="39" ht="22" customHeight="1">
      <x:c r="A39" s="2"/>
      <x:c r="B39" s="2"/>
      <x:c r="C39" s="2"/>
      <x:c r="D39" s="3"/>
      <x:c r="E39" s="3"/>
      <x:c r="F39" s="3"/>
      <x:c r="G39" s="3"/>
      <x:c r="H39" s="3"/>
      <x:c r="I39" s="3"/>
      <x:c r="J39" s="2"/>
      <x:c r="K39" s="2"/>
      <x:c r="L39" s="2"/>
      <x:c r="M39" s="2"/>
      <x:c r="N39" s="2"/>
      <x:c r="O39" s="2"/>
      <x:c r="P39" s="2"/>
      <x:c r="Q39" s="2"/>
    </x:row>
    <x:row r="40" ht="22" customHeight="1">
      <x:c r="A40" s="2"/>
      <x:c r="B40" s="2"/>
      <x:c r="C40" s="2"/>
      <x:c r="D40" s="3"/>
      <x:c r="E40" s="3"/>
      <x:c r="F40" s="3"/>
      <x:c r="G40" s="3"/>
      <x:c r="H40" s="3"/>
      <x:c r="I40" s="3"/>
      <x:c r="J40" s="2"/>
      <x:c r="K40" s="2"/>
      <x:c r="L40" s="2"/>
      <x:c r="M40" s="2"/>
      <x:c r="N40" s="2"/>
      <x:c r="O40" s="2"/>
      <x:c r="P40" s="2"/>
      <x:c r="Q40" s="2"/>
    </x:row>
    <x:row r="41" ht="22" customHeight="1">
      <x:c r="A41" s="2"/>
      <x:c r="B41" s="2"/>
      <x:c r="C41" s="2"/>
      <x:c r="D41" s="3"/>
      <x:c r="E41" s="3"/>
      <x:c r="F41" s="3"/>
      <x:c r="G41" s="3"/>
      <x:c r="H41" s="3"/>
      <x:c r="I41" s="3"/>
      <x:c r="J41" s="2"/>
      <x:c r="K41" s="2"/>
      <x:c r="L41" s="2"/>
      <x:c r="M41" s="2"/>
      <x:c r="N41" s="2"/>
      <x:c r="O41" s="2"/>
      <x:c r="P41" s="2"/>
      <x:c r="Q41" s="2"/>
    </x:row>
    <x:row r="42" ht="22" customHeight="1">
      <x:c r="A42" s="2"/>
      <x:c r="B42" s="2"/>
      <x:c r="C42" s="2"/>
      <x:c r="D42" s="3"/>
      <x:c r="E42" s="3"/>
      <x:c r="F42" s="3"/>
      <x:c r="G42" s="3"/>
      <x:c r="H42" s="3"/>
      <x:c r="I42" s="3"/>
      <x:c r="J42" s="2"/>
      <x:c r="K42" s="2"/>
      <x:c r="L42" s="2"/>
      <x:c r="M42" s="2"/>
      <x:c r="N42" s="2"/>
      <x:c r="O42" s="2"/>
      <x:c r="P42" s="2"/>
      <x:c r="Q42" s="2"/>
    </x:row>
    <x:row r="43" ht="22" customHeight="1">
      <x:c r="A43" s="2"/>
      <x:c r="B43" s="2"/>
      <x:c r="C43" s="2"/>
      <x:c r="D43" s="3"/>
      <x:c r="E43" s="3"/>
      <x:c r="F43" s="3"/>
      <x:c r="G43" s="3"/>
      <x:c r="H43" s="3"/>
      <x:c r="I43" s="3"/>
      <x:c r="J43" s="2"/>
      <x:c r="K43" s="2"/>
      <x:c r="L43" s="2"/>
      <x:c r="M43" s="2"/>
      <x:c r="N43" s="2"/>
      <x:c r="O43" s="2"/>
      <x:c r="P43" s="2"/>
      <x:c r="Q43" s="2"/>
    </x:row>
    <x:row r="44" ht="22" customHeight="1">
      <x:c r="A44" s="2"/>
      <x:c r="B44" s="2"/>
      <x:c r="C44" s="2"/>
      <x:c r="D44" s="3"/>
      <x:c r="E44" s="3"/>
      <x:c r="F44" s="3"/>
      <x:c r="G44" s="3"/>
      <x:c r="H44" s="3"/>
      <x:c r="I44" s="3"/>
      <x:c r="J44" s="2"/>
      <x:c r="K44" s="2"/>
      <x:c r="L44" s="2"/>
      <x:c r="M44" s="2"/>
      <x:c r="N44" s="2"/>
      <x:c r="O44" s="2"/>
      <x:c r="P44" s="2"/>
      <x:c r="Q44" s="2"/>
    </x:row>
    <x:row r="45" ht="22" customHeight="1">
      <x:c r="A45" s="2"/>
      <x:c r="B45" s="2"/>
      <x:c r="C45" s="2"/>
      <x:c r="D45" s="3"/>
      <x:c r="E45" s="3"/>
      <x:c r="F45" s="3"/>
      <x:c r="G45" s="3"/>
      <x:c r="H45" s="3"/>
      <x:c r="I45" s="3"/>
      <x:c r="J45" s="2"/>
      <x:c r="K45" s="2"/>
      <x:c r="L45" s="2"/>
      <x:c r="M45" s="2"/>
      <x:c r="N45" s="2"/>
      <x:c r="O45" s="2"/>
      <x:c r="P45" s="2"/>
      <x:c r="Q45" s="2"/>
    </x:row>
    <x:row r="46" ht="22" customHeight="1">
      <x:c r="A46" s="2"/>
      <x:c r="B46" s="2"/>
      <x:c r="C46" s="2"/>
      <x:c r="D46" s="3"/>
      <x:c r="E46" s="3"/>
      <x:c r="F46" s="3"/>
      <x:c r="G46" s="3"/>
      <x:c r="H46" s="3"/>
      <x:c r="I46" s="3"/>
      <x:c r="J46" s="2"/>
      <x:c r="K46" s="2"/>
      <x:c r="L46" s="2"/>
      <x:c r="M46" s="2"/>
      <x:c r="N46" s="2"/>
      <x:c r="O46" s="2"/>
      <x:c r="P46" s="2"/>
      <x:c r="Q46" s="2"/>
    </x:row>
    <x:row r="47" ht="22" customHeight="1">
      <x:c r="A47" s="2"/>
      <x:c r="B47" s="2"/>
      <x:c r="C47" s="2"/>
      <x:c r="D47" s="3"/>
      <x:c r="E47" s="3"/>
      <x:c r="F47" s="3"/>
      <x:c r="G47" s="3"/>
      <x:c r="H47" s="3"/>
      <x:c r="I47" s="3"/>
      <x:c r="J47" s="2"/>
      <x:c r="K47" s="2"/>
      <x:c r="L47" s="2"/>
      <x:c r="M47" s="2"/>
      <x:c r="N47" s="2"/>
      <x:c r="O47" s="2"/>
      <x:c r="P47" s="2"/>
      <x:c r="Q47" s="2"/>
    </x:row>
    <x:row r="48" ht="22" customHeight="1">
      <x:c r="A48" s="2"/>
      <x:c r="B48" s="2"/>
      <x:c r="C48" s="2"/>
      <x:c r="D48" s="3"/>
      <x:c r="E48" s="3"/>
      <x:c r="F48" s="3"/>
      <x:c r="G48" s="3"/>
      <x:c r="H48" s="3"/>
      <x:c r="I48" s="3"/>
      <x:c r="J48" s="2"/>
      <x:c r="K48" s="2"/>
      <x:c r="L48" s="2"/>
      <x:c r="M48" s="2"/>
      <x:c r="N48" s="2"/>
      <x:c r="O48" s="2"/>
      <x:c r="P48" s="2"/>
      <x:c r="Q48" s="2"/>
    </x:row>
    <x:row r="49" ht="22" customHeight="1">
      <x:c r="A49" s="2"/>
      <x:c r="B49" s="2"/>
      <x:c r="C49" s="2"/>
      <x:c r="D49" s="3"/>
      <x:c r="E49" s="3"/>
      <x:c r="F49" s="3"/>
      <x:c r="G49" s="3"/>
      <x:c r="H49" s="3"/>
      <x:c r="I49" s="3"/>
      <x:c r="J49" s="2"/>
      <x:c r="K49" s="2"/>
      <x:c r="L49" s="2"/>
      <x:c r="M49" s="2"/>
      <x:c r="N49" s="2"/>
      <x:c r="O49" s="2"/>
      <x:c r="P49" s="2"/>
      <x:c r="Q49" s="2"/>
    </x:row>
    <x:row r="50" ht="22" customHeight="1">
      <x:c r="A50" s="2"/>
      <x:c r="B50" s="2"/>
      <x:c r="C50" s="2"/>
      <x:c r="D50" s="3"/>
      <x:c r="E50" s="3"/>
      <x:c r="F50" s="3"/>
      <x:c r="G50" s="3"/>
      <x:c r="H50" s="3"/>
      <x:c r="I50" s="3"/>
      <x:c r="J50" s="2"/>
      <x:c r="K50" s="2"/>
      <x:c r="L50" s="2"/>
      <x:c r="M50" s="2"/>
      <x:c r="N50" s="2"/>
      <x:c r="O50" s="2"/>
      <x:c r="P50" s="2"/>
      <x:c r="Q50" s="2"/>
    </x:row>
    <x:row r="51" ht="22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2"/>
      <x:c r="K51" s="2"/>
      <x:c r="L51" s="2"/>
      <x:c r="M51" s="2"/>
      <x:c r="N51" s="2"/>
      <x:c r="O51" s="2"/>
      <x:c r="P51" s="2"/>
      <x:c r="Q51" s="2"/>
    </x:row>
    <x:row r="52" ht="22" customHeight="1">
      <x:c r="A52" s="2"/>
      <x:c r="B52" s="2"/>
      <x:c r="C52" s="2"/>
      <x:c r="D52" s="3"/>
      <x:c r="E52" s="3"/>
      <x:c r="F52" s="3"/>
      <x:c r="G52" s="3"/>
      <x:c r="H52" s="3"/>
      <x:c r="I52" s="3"/>
      <x:c r="J52" s="2"/>
      <x:c r="K52" s="2"/>
      <x:c r="L52" s="2"/>
      <x:c r="M52" s="2"/>
      <x:c r="N52" s="2"/>
      <x:c r="O52" s="2"/>
      <x:c r="P52" s="2"/>
      <x:c r="Q52" s="2"/>
    </x:row>
    <x:row r="53" ht="22" customHeight="1">
      <x:c r="A53" s="2"/>
      <x:c r="B53" s="2"/>
      <x:c r="C53" s="2"/>
      <x:c r="D53" s="3"/>
      <x:c r="E53" s="3"/>
      <x:c r="F53" s="3"/>
      <x:c r="G53" s="3"/>
      <x:c r="H53" s="3"/>
      <x:c r="I53" s="3"/>
      <x:c r="J53" s="2"/>
      <x:c r="K53" s="2"/>
      <x:c r="L53" s="2"/>
      <x:c r="M53" s="2"/>
      <x:c r="N53" s="2"/>
      <x:c r="O53" s="2"/>
      <x:c r="P53" s="2"/>
      <x:c r="Q53" s="2"/>
    </x:row>
    <x:row r="54" ht="22" customHeight="1">
      <x:c r="A54" s="2"/>
      <x:c r="B54" s="2"/>
      <x:c r="C54" s="2"/>
      <x:c r="D54" s="3"/>
      <x:c r="E54" s="3"/>
      <x:c r="F54" s="3"/>
      <x:c r="G54" s="3"/>
      <x:c r="H54" s="3"/>
      <x:c r="I54" s="3"/>
      <x:c r="J54" s="2"/>
      <x:c r="K54" s="2"/>
      <x:c r="L54" s="2"/>
      <x:c r="M54" s="2"/>
      <x:c r="N54" s="2"/>
      <x:c r="O54" s="2"/>
      <x:c r="P54" s="2"/>
      <x:c r="Q54" s="2"/>
    </x:row>
    <x:row r="55" ht="22" customHeight="1">
      <x:c r="A55" s="2"/>
      <x:c r="B55" s="2"/>
      <x:c r="C55" s="2"/>
      <x:c r="D55" s="3"/>
      <x:c r="E55" s="3"/>
      <x:c r="F55" s="3"/>
      <x:c r="G55" s="3"/>
      <x:c r="H55" s="3"/>
      <x:c r="I55" s="3"/>
      <x:c r="J55" s="2"/>
      <x:c r="K55" s="2"/>
      <x:c r="L55" s="2"/>
      <x:c r="M55" s="2"/>
      <x:c r="N55" s="2"/>
      <x:c r="O55" s="2"/>
      <x:c r="P55" s="2"/>
      <x:c r="Q55" s="2"/>
    </x:row>
    <x:row r="56" ht="22" customHeight="1">
      <x:c r="A56" s="2"/>
      <x:c r="B56" s="2"/>
      <x:c r="C56" s="2"/>
      <x:c r="D56" s="3"/>
      <x:c r="E56" s="3"/>
      <x:c r="F56" s="3"/>
      <x:c r="G56" s="3"/>
      <x:c r="H56" s="3"/>
      <x:c r="I56" s="3"/>
      <x:c r="J56" s="2"/>
      <x:c r="K56" s="2"/>
      <x:c r="L56" s="2"/>
      <x:c r="M56" s="2"/>
      <x:c r="N56" s="2"/>
      <x:c r="O56" s="2"/>
      <x:c r="P56" s="2"/>
      <x:c r="Q56" s="2"/>
    </x:row>
    <x:row r="57" ht="22" customHeight="1">
      <x:c r="A57" s="2"/>
      <x:c r="B57" s="2"/>
      <x:c r="C57" s="2"/>
      <x:c r="D57" s="3"/>
      <x:c r="E57" s="3"/>
      <x:c r="F57" s="3"/>
      <x:c r="G57" s="3"/>
      <x:c r="H57" s="3"/>
      <x:c r="I57" s="3"/>
      <x:c r="J57" s="2"/>
      <x:c r="K57" s="2"/>
      <x:c r="L57" s="2"/>
      <x:c r="M57" s="2"/>
      <x:c r="N57" s="2"/>
      <x:c r="O57" s="2"/>
      <x:c r="P57" s="2"/>
      <x:c r="Q57" s="2"/>
    </x:row>
    <x:row r="58" ht="22" customHeight="1">
      <x:c r="A58" s="2"/>
      <x:c r="B58" s="2"/>
      <x:c r="C58" s="2"/>
      <x:c r="D58" s="3"/>
      <x:c r="E58" s="3"/>
      <x:c r="F58" s="3"/>
      <x:c r="G58" s="3"/>
      <x:c r="H58" s="3"/>
      <x:c r="I58" s="3"/>
      <x:c r="J58" s="2"/>
      <x:c r="K58" s="2"/>
      <x:c r="L58" s="2"/>
      <x:c r="M58" s="2"/>
      <x:c r="N58" s="2"/>
      <x:c r="O58" s="2"/>
      <x:c r="P58" s="2"/>
      <x:c r="Q58" s="2"/>
    </x:row>
    <x:row r="59" ht="22" customHeight="1">
      <x:c r="A59" s="2"/>
      <x:c r="B59" s="2"/>
      <x:c r="C59" s="2"/>
      <x:c r="D59" s="3"/>
      <x:c r="E59" s="3"/>
      <x:c r="F59" s="3"/>
      <x:c r="G59" s="3"/>
      <x:c r="H59" s="3"/>
      <x:c r="I59" s="3"/>
      <x:c r="J59" s="2"/>
      <x:c r="K59" s="2"/>
      <x:c r="L59" s="2"/>
      <x:c r="M59" s="2"/>
      <x:c r="N59" s="2"/>
      <x:c r="O59" s="2"/>
      <x:c r="P59" s="2"/>
      <x:c r="Q59" s="2"/>
    </x:row>
    <x:row r="60" ht="22" customHeight="1">
      <x:c r="A60" s="2"/>
      <x:c r="B60" s="2"/>
      <x:c r="C60" s="2"/>
      <x:c r="D60" s="3"/>
      <x:c r="E60" s="3"/>
      <x:c r="F60" s="3"/>
      <x:c r="G60" s="3"/>
      <x:c r="H60" s="3"/>
      <x:c r="I60" s="3"/>
      <x:c r="J60" s="2"/>
      <x:c r="K60" s="2"/>
      <x:c r="L60" s="2"/>
      <x:c r="M60" s="2"/>
      <x:c r="N60" s="2"/>
      <x:c r="O60" s="2"/>
      <x:c r="P60" s="2"/>
      <x:c r="Q60" s="2"/>
    </x:row>
    <x:row r="61" ht="22" customHeight="1">
      <x:c r="A61" s="2"/>
      <x:c r="B61" s="2"/>
      <x:c r="C61" s="2"/>
      <x:c r="D61" s="3"/>
      <x:c r="E61" s="3"/>
      <x:c r="F61" s="3"/>
      <x:c r="G61" s="3"/>
      <x:c r="H61" s="3"/>
      <x:c r="I61" s="3"/>
      <x:c r="J61" s="2"/>
      <x:c r="K61" s="2"/>
      <x:c r="L61" s="2"/>
      <x:c r="M61" s="2"/>
      <x:c r="N61" s="2"/>
      <x:c r="O61" s="2"/>
      <x:c r="P61" s="2"/>
      <x:c r="Q61" s="2"/>
    </x:row>
    <x:row r="62" ht="22" customHeight="1">
      <x:c r="A62" s="2"/>
      <x:c r="B62" s="2"/>
      <x:c r="C62" s="2"/>
      <x:c r="D62" s="3"/>
      <x:c r="E62" s="3"/>
      <x:c r="F62" s="3"/>
      <x:c r="G62" s="3"/>
      <x:c r="H62" s="3"/>
      <x:c r="I62" s="3"/>
      <x:c r="J62" s="2"/>
      <x:c r="K62" s="2"/>
      <x:c r="L62" s="2"/>
      <x:c r="M62" s="2"/>
      <x:c r="N62" s="2"/>
      <x:c r="O62" s="2"/>
      <x:c r="P62" s="2"/>
      <x:c r="Q62" s="2"/>
    </x:row>
    <x:row r="63" ht="22" customHeight="1">
      <x:c r="A63" s="2"/>
      <x:c r="B63" s="2"/>
      <x:c r="C63" s="2"/>
      <x:c r="D63" s="3"/>
      <x:c r="E63" s="3"/>
      <x:c r="F63" s="3"/>
      <x:c r="G63" s="3"/>
      <x:c r="H63" s="3"/>
      <x:c r="I63" s="3"/>
      <x:c r="J63" s="2"/>
      <x:c r="K63" s="2"/>
      <x:c r="L63" s="2"/>
      <x:c r="M63" s="2"/>
      <x:c r="N63" s="2"/>
      <x:c r="O63" s="2"/>
      <x:c r="P63" s="2"/>
      <x:c r="Q63" s="2"/>
    </x:row>
    <x:row r="64" ht="22" customHeight="1">
      <x:c r="A64" s="2"/>
      <x:c r="B64" s="2"/>
      <x:c r="C64" s="2"/>
      <x:c r="D64" s="3"/>
      <x:c r="E64" s="3"/>
      <x:c r="F64" s="3"/>
      <x:c r="G64" s="3"/>
      <x:c r="H64" s="3"/>
      <x:c r="I64" s="3"/>
      <x:c r="J64" s="2"/>
      <x:c r="K64" s="2"/>
      <x:c r="L64" s="2"/>
      <x:c r="M64" s="2"/>
      <x:c r="N64" s="2"/>
      <x:c r="O64" s="2"/>
      <x:c r="P64" s="2"/>
      <x:c r="Q64" s="2"/>
    </x:row>
    <x:row r="65" ht="22" customHeight="1">
      <x:c r="A65" s="2"/>
      <x:c r="B65" s="2"/>
      <x:c r="C65" s="2"/>
      <x:c r="D65" s="3"/>
      <x:c r="E65" s="3"/>
      <x:c r="F65" s="3"/>
      <x:c r="G65" s="3"/>
      <x:c r="H65" s="3"/>
      <x:c r="I65" s="3"/>
      <x:c r="J65" s="2"/>
      <x:c r="K65" s="2"/>
      <x:c r="L65" s="2"/>
      <x:c r="M65" s="2"/>
      <x:c r="N65" s="2"/>
      <x:c r="O65" s="2"/>
      <x:c r="P65" s="2"/>
      <x:c r="Q65" s="2"/>
    </x:row>
    <x:row r="66" ht="22" customHeight="1">
      <x:c r="A66" s="2"/>
      <x:c r="B66" s="2"/>
      <x:c r="C66" s="2"/>
      <x:c r="D66" s="3"/>
      <x:c r="E66" s="3"/>
      <x:c r="F66" s="3"/>
      <x:c r="G66" s="3"/>
      <x:c r="H66" s="3"/>
      <x:c r="I66" s="3"/>
      <x:c r="J66" s="2"/>
      <x:c r="K66" s="2"/>
      <x:c r="L66" s="2"/>
      <x:c r="M66" s="2"/>
      <x:c r="N66" s="2"/>
      <x:c r="O66" s="2"/>
      <x:c r="P66" s="2"/>
      <x:c r="Q66" s="2"/>
    </x:row>
    <x:row r="67" ht="22" customHeight="1">
      <x:c r="A67" s="2"/>
      <x:c r="B67" s="2"/>
      <x:c r="C67" s="2"/>
      <x:c r="D67" s="3"/>
      <x:c r="E67" s="3"/>
      <x:c r="F67" s="3"/>
      <x:c r="G67" s="3"/>
      <x:c r="H67" s="3"/>
      <x:c r="I67" s="3"/>
      <x:c r="J67" s="2"/>
      <x:c r="K67" s="2"/>
      <x:c r="L67" s="2"/>
      <x:c r="M67" s="2"/>
      <x:c r="N67" s="2"/>
      <x:c r="O67" s="2"/>
      <x:c r="P67" s="2"/>
      <x:c r="Q67" s="2"/>
    </x:row>
    <x:row r="68" ht="22" customHeight="1">
      <x:c r="A68" s="2"/>
      <x:c r="B68" s="2"/>
      <x:c r="C68" s="2"/>
      <x:c r="D68" s="3"/>
      <x:c r="E68" s="3"/>
      <x:c r="F68" s="3"/>
      <x:c r="G68" s="3"/>
      <x:c r="H68" s="3"/>
      <x:c r="I68" s="3"/>
      <x:c r="J68" s="2"/>
      <x:c r="K68" s="2"/>
      <x:c r="L68" s="2"/>
      <x:c r="M68" s="2"/>
      <x:c r="N68" s="2"/>
      <x:c r="O68" s="2"/>
      <x:c r="P68" s="2"/>
      <x:c r="Q68" s="2"/>
    </x:row>
    <x:row r="69" ht="22" customHeight="1">
      <x:c r="A69" s="2"/>
      <x:c r="B69" s="2"/>
      <x:c r="C69" s="2"/>
      <x:c r="D69" s="3"/>
      <x:c r="E69" s="3"/>
      <x:c r="F69" s="3"/>
      <x:c r="G69" s="3"/>
      <x:c r="H69" s="3"/>
      <x:c r="I69" s="3"/>
      <x:c r="J69" s="2"/>
      <x:c r="K69" s="2"/>
      <x:c r="L69" s="2"/>
      <x:c r="M69" s="2"/>
      <x:c r="N69" s="2"/>
      <x:c r="O69" s="2"/>
      <x:c r="P69" s="2"/>
      <x:c r="Q69" s="2"/>
    </x:row>
    <x:row r="70" ht="22" customHeight="1">
      <x:c r="A70" s="2"/>
      <x:c r="B70" s="2"/>
      <x:c r="C70" s="2"/>
      <x:c r="D70" s="3"/>
      <x:c r="E70" s="3"/>
      <x:c r="F70" s="3"/>
      <x:c r="G70" s="3"/>
      <x:c r="H70" s="3"/>
      <x:c r="I70" s="3"/>
      <x:c r="J70" s="2"/>
      <x:c r="K70" s="2"/>
      <x:c r="L70" s="2"/>
      <x:c r="M70" s="2"/>
      <x:c r="N70" s="2"/>
      <x:c r="O70" s="2"/>
      <x:c r="P70" s="2"/>
      <x:c r="Q70" s="2"/>
    </x:row>
    <x:row r="71" ht="22" customHeight="1">
      <x:c r="A71" s="2"/>
      <x:c r="B71" s="2"/>
      <x:c r="C71" s="2"/>
      <x:c r="D71" s="3"/>
      <x:c r="E71" s="3"/>
      <x:c r="F71" s="3"/>
      <x:c r="G71" s="3"/>
      <x:c r="H71" s="3"/>
      <x:c r="I71" s="3"/>
      <x:c r="J71" s="2"/>
      <x:c r="K71" s="2"/>
      <x:c r="L71" s="2"/>
      <x:c r="M71" s="2"/>
      <x:c r="N71" s="2"/>
      <x:c r="O71" s="2"/>
      <x:c r="P71" s="2"/>
      <x:c r="Q71" s="2"/>
    </x:row>
    <x:row r="72" ht="22" customHeight="1">
      <x:c r="A72" s="2"/>
      <x:c r="B72" s="2"/>
      <x:c r="C72" s="2"/>
      <x:c r="D72" s="3"/>
      <x:c r="E72" s="3"/>
      <x:c r="F72" s="3"/>
      <x:c r="G72" s="3"/>
      <x:c r="H72" s="3"/>
      <x:c r="I72" s="3"/>
      <x:c r="J72" s="2"/>
      <x:c r="K72" s="2"/>
      <x:c r="L72" s="2"/>
      <x:c r="M72" s="2"/>
      <x:c r="N72" s="2"/>
      <x:c r="O72" s="2"/>
      <x:c r="P72" s="2"/>
      <x:c r="Q72" s="2"/>
    </x:row>
    <x:row r="73" ht="22" customHeight="1">
      <x:c r="A73" s="2"/>
      <x:c r="B73" s="2"/>
      <x:c r="C73" s="2"/>
      <x:c r="D73" s="3"/>
      <x:c r="E73" s="3"/>
      <x:c r="F73" s="3"/>
      <x:c r="G73" s="3"/>
      <x:c r="H73" s="3"/>
      <x:c r="I73" s="3"/>
      <x:c r="J73" s="2"/>
      <x:c r="K73" s="2"/>
      <x:c r="L73" s="2"/>
      <x:c r="M73" s="2"/>
      <x:c r="N73" s="2"/>
      <x:c r="O73" s="2"/>
      <x:c r="P73" s="2"/>
      <x:c r="Q73" s="2"/>
    </x:row>
    <x:row r="74" ht="22" customHeight="1">
      <x:c r="A74" s="2"/>
      <x:c r="B74" s="2"/>
      <x:c r="C74" s="2"/>
      <x:c r="D74" s="3"/>
      <x:c r="E74" s="3"/>
      <x:c r="F74" s="3"/>
      <x:c r="G74" s="3"/>
      <x:c r="H74" s="3"/>
      <x:c r="I74" s="3"/>
      <x:c r="J74" s="2"/>
      <x:c r="K74" s="2"/>
      <x:c r="L74" s="2"/>
      <x:c r="M74" s="2"/>
      <x:c r="N74" s="2"/>
      <x:c r="O74" s="2"/>
      <x:c r="P74" s="2"/>
      <x:c r="Q74" s="2"/>
    </x:row>
    <x:row r="75" ht="22" customHeight="1">
      <x:c r="A75" s="2"/>
      <x:c r="B75" s="2"/>
      <x:c r="C75" s="2"/>
      <x:c r="D75" s="3"/>
      <x:c r="E75" s="3"/>
      <x:c r="F75" s="3"/>
      <x:c r="G75" s="3"/>
      <x:c r="H75" s="3"/>
      <x:c r="I75" s="3"/>
      <x:c r="J75" s="2"/>
      <x:c r="K75" s="2"/>
      <x:c r="L75" s="2"/>
      <x:c r="M75" s="2"/>
      <x:c r="N75" s="2"/>
      <x:c r="O75" s="2"/>
      <x:c r="P75" s="2"/>
      <x:c r="Q75" s="2"/>
    </x:row>
    <x:row r="76" ht="22" customHeight="1">
      <x:c r="A76" s="2"/>
      <x:c r="B76" s="2"/>
      <x:c r="C76" s="2"/>
      <x:c r="D76" s="3"/>
      <x:c r="E76" s="3"/>
      <x:c r="F76" s="3"/>
      <x:c r="G76" s="3"/>
      <x:c r="H76" s="3"/>
      <x:c r="I76" s="3"/>
      <x:c r="J76" s="2"/>
      <x:c r="K76" s="2"/>
      <x:c r="L76" s="2"/>
      <x:c r="M76" s="2"/>
      <x:c r="N76" s="2"/>
      <x:c r="O76" s="2"/>
      <x:c r="P76" s="2"/>
      <x:c r="Q76" s="2"/>
    </x:row>
    <x:row r="77" ht="22" customHeight="1">
      <x:c r="A77" s="2"/>
      <x:c r="B77" s="2"/>
      <x:c r="C77" s="2"/>
      <x:c r="D77" s="3"/>
      <x:c r="E77" s="3"/>
      <x:c r="F77" s="3"/>
      <x:c r="G77" s="3"/>
      <x:c r="H77" s="3"/>
      <x:c r="I77" s="3"/>
      <x:c r="J77" s="2"/>
      <x:c r="K77" s="2"/>
      <x:c r="L77" s="2"/>
      <x:c r="M77" s="2"/>
      <x:c r="N77" s="2"/>
      <x:c r="O77" s="2"/>
      <x:c r="P77" s="2"/>
      <x:c r="Q77" s="2"/>
    </x:row>
    <x:row r="78" ht="22" customHeight="1">
      <x:c r="A78" s="2"/>
      <x:c r="B78" s="2"/>
      <x:c r="C78" s="2"/>
      <x:c r="D78" s="3"/>
      <x:c r="E78" s="3"/>
      <x:c r="F78" s="3"/>
      <x:c r="G78" s="3"/>
      <x:c r="H78" s="3"/>
      <x:c r="I78" s="3"/>
      <x:c r="J78" s="2"/>
      <x:c r="K78" s="2"/>
      <x:c r="L78" s="2"/>
      <x:c r="M78" s="2"/>
      <x:c r="N78" s="2"/>
      <x:c r="O78" s="2"/>
      <x:c r="P78" s="2"/>
      <x:c r="Q78" s="2"/>
    </x:row>
    <x:row r="79" ht="22" customHeight="1">
      <x:c r="A79" s="2"/>
      <x:c r="B79" s="2"/>
      <x:c r="C79" s="2"/>
      <x:c r="D79" s="3"/>
      <x:c r="E79" s="3"/>
      <x:c r="F79" s="3"/>
      <x:c r="G79" s="3"/>
      <x:c r="H79" s="3"/>
      <x:c r="I79" s="3"/>
      <x:c r="J79" s="2"/>
      <x:c r="K79" s="2"/>
      <x:c r="L79" s="2"/>
      <x:c r="M79" s="2"/>
      <x:c r="N79" s="2"/>
      <x:c r="O79" s="2"/>
      <x:c r="P79" s="2"/>
      <x:c r="Q79" s="2"/>
    </x:row>
    <x:row r="80" ht="22" customHeight="1">
      <x:c r="A80" s="2"/>
      <x:c r="B80" s="2"/>
      <x:c r="C80" s="2"/>
      <x:c r="D80" s="3"/>
      <x:c r="E80" s="3"/>
      <x:c r="F80" s="3"/>
      <x:c r="G80" s="3"/>
      <x:c r="H80" s="3"/>
      <x:c r="I80" s="3"/>
      <x:c r="J80" s="2"/>
      <x:c r="K80" s="2"/>
      <x:c r="L80" s="2"/>
      <x:c r="M80" s="2"/>
      <x:c r="N80" s="2"/>
      <x:c r="O80" s="2"/>
      <x:c r="P80" s="2"/>
      <x:c r="Q80" s="2"/>
    </x:row>
    <x:row r="81" ht="22" customHeight="1">
      <x:c r="A81" s="2"/>
      <x:c r="B81" s="2"/>
      <x:c r="C81" s="2"/>
      <x:c r="D81" s="3"/>
      <x:c r="E81" s="3"/>
      <x:c r="F81" s="3"/>
      <x:c r="G81" s="3"/>
      <x:c r="H81" s="3"/>
      <x:c r="I81" s="3"/>
      <x:c r="J81" s="2"/>
      <x:c r="K81" s="2"/>
      <x:c r="L81" s="2"/>
      <x:c r="M81" s="2"/>
      <x:c r="N81" s="2"/>
      <x:c r="O81" s="2"/>
      <x:c r="P81" s="2"/>
      <x:c r="Q81" s="2"/>
    </x:row>
    <x:row r="82" ht="22" customHeight="1">
      <x:c r="A82" s="2"/>
      <x:c r="B82" s="2"/>
      <x:c r="C82" s="2"/>
      <x:c r="D82" s="3"/>
      <x:c r="E82" s="3"/>
      <x:c r="F82" s="3"/>
      <x:c r="G82" s="3"/>
      <x:c r="H82" s="3"/>
      <x:c r="I82" s="3"/>
      <x:c r="J82" s="2"/>
      <x:c r="K82" s="2"/>
      <x:c r="L82" s="2"/>
      <x:c r="M82" s="2"/>
      <x:c r="N82" s="2"/>
      <x:c r="O82" s="2"/>
      <x:c r="P82" s="2"/>
      <x:c r="Q82" s="2"/>
    </x:row>
    <x:row r="83" ht="22" customHeight="1">
      <x:c r="A83" s="2"/>
      <x:c r="B83" s="2"/>
      <x:c r="C83" s="2"/>
      <x:c r="D83" s="3"/>
      <x:c r="E83" s="3"/>
      <x:c r="F83" s="3"/>
      <x:c r="G83" s="3"/>
      <x:c r="H83" s="3"/>
      <x:c r="I83" s="3"/>
      <x:c r="J83" s="2"/>
      <x:c r="K83" s="2"/>
      <x:c r="L83" s="2"/>
      <x:c r="M83" s="2"/>
      <x:c r="N83" s="2"/>
      <x:c r="O83" s="2"/>
      <x:c r="P83" s="2"/>
      <x:c r="Q83" s="2"/>
    </x:row>
    <x:row r="84" ht="22" customHeight="1">
      <x:c r="A84" s="2"/>
      <x:c r="B84" s="2"/>
      <x:c r="C84" s="2"/>
      <x:c r="D84" s="3"/>
      <x:c r="E84" s="3"/>
      <x:c r="F84" s="3"/>
      <x:c r="G84" s="3"/>
      <x:c r="H84" s="3"/>
      <x:c r="I84" s="3"/>
      <x:c r="J84" s="2"/>
      <x:c r="K84" s="2"/>
      <x:c r="L84" s="2"/>
      <x:c r="M84" s="2"/>
      <x:c r="N84" s="2"/>
      <x:c r="O84" s="2"/>
      <x:c r="P84" s="2"/>
      <x:c r="Q84" s="2"/>
    </x:row>
    <x:row r="85" ht="22" customHeight="1">
      <x:c r="A85" s="2"/>
      <x:c r="B85" s="2"/>
      <x:c r="C85" s="2"/>
      <x:c r="D85" s="3"/>
      <x:c r="E85" s="3"/>
      <x:c r="F85" s="3"/>
      <x:c r="G85" s="3"/>
      <x:c r="H85" s="3"/>
      <x:c r="I85" s="3"/>
      <x:c r="J85" s="2"/>
      <x:c r="K85" s="2"/>
      <x:c r="L85" s="2"/>
      <x:c r="M85" s="2"/>
      <x:c r="N85" s="2"/>
      <x:c r="O85" s="2"/>
      <x:c r="P85" s="2"/>
      <x:c r="Q85" s="2"/>
    </x:row>
    <x:row r="86" ht="22" customHeight="1">
      <x:c r="A86" s="2"/>
      <x:c r="B86" s="2"/>
      <x:c r="C86" s="2"/>
      <x:c r="D86" s="3"/>
      <x:c r="E86" s="3"/>
      <x:c r="F86" s="3"/>
      <x:c r="G86" s="3"/>
      <x:c r="H86" s="3"/>
      <x:c r="I86" s="3"/>
      <x:c r="J86" s="2"/>
      <x:c r="K86" s="2"/>
      <x:c r="L86" s="2"/>
      <x:c r="M86" s="2"/>
      <x:c r="N86" s="2"/>
      <x:c r="O86" s="2"/>
      <x:c r="P86" s="2"/>
      <x:c r="Q86" s="2"/>
    </x:row>
    <x:row r="87" ht="22" customHeight="1">
      <x:c r="A87" s="2"/>
      <x:c r="B87" s="2"/>
      <x:c r="C87" s="2"/>
      <x:c r="D87" s="3"/>
      <x:c r="E87" s="3"/>
      <x:c r="F87" s="3"/>
      <x:c r="G87" s="3"/>
      <x:c r="H87" s="3"/>
      <x:c r="I87" s="3"/>
      <x:c r="J87" s="2"/>
      <x:c r="K87" s="2"/>
      <x:c r="L87" s="2"/>
      <x:c r="M87" s="2"/>
      <x:c r="N87" s="2"/>
      <x:c r="O87" s="2"/>
      <x:c r="P87" s="2"/>
      <x:c r="Q87" s="2"/>
    </x:row>
    <x:row r="88" ht="22" customHeight="1">
      <x:c r="A88" s="2"/>
      <x:c r="B88" s="2"/>
      <x:c r="C88" s="2"/>
      <x:c r="D88" s="3"/>
      <x:c r="E88" s="3"/>
      <x:c r="F88" s="3"/>
      <x:c r="G88" s="3"/>
      <x:c r="H88" s="3"/>
      <x:c r="I88" s="3"/>
      <x:c r="J88" s="2"/>
      <x:c r="K88" s="2"/>
      <x:c r="L88" s="2"/>
      <x:c r="M88" s="2"/>
      <x:c r="N88" s="2"/>
      <x:c r="O88" s="2"/>
      <x:c r="P88" s="2"/>
      <x:c r="Q88" s="2"/>
    </x:row>
    <x:row r="89" ht="22" customHeight="1">
      <x:c r="A89" s="2"/>
      <x:c r="B89" s="2"/>
      <x:c r="C89" s="2"/>
      <x:c r="D89" s="3"/>
      <x:c r="E89" s="3"/>
      <x:c r="F89" s="3"/>
      <x:c r="G89" s="3"/>
      <x:c r="H89" s="3"/>
      <x:c r="I89" s="3"/>
      <x:c r="J89" s="2"/>
      <x:c r="K89" s="2"/>
      <x:c r="L89" s="2"/>
      <x:c r="M89" s="2"/>
      <x:c r="N89" s="2"/>
      <x:c r="O89" s="2"/>
      <x:c r="P89" s="2"/>
      <x:c r="Q89" s="2"/>
    </x:row>
    <x:row r="90" ht="22" customHeight="1">
      <x:c r="A90" s="2"/>
      <x:c r="B90" s="2"/>
      <x:c r="C90" s="2"/>
      <x:c r="D90" s="3"/>
      <x:c r="E90" s="3"/>
      <x:c r="F90" s="3"/>
      <x:c r="G90" s="3"/>
      <x:c r="H90" s="3"/>
      <x:c r="I90" s="3"/>
      <x:c r="J90" s="2"/>
      <x:c r="K90" s="2"/>
      <x:c r="L90" s="2"/>
      <x:c r="M90" s="2"/>
      <x:c r="N90" s="2"/>
      <x:c r="O90" s="2"/>
      <x:c r="P90" s="2"/>
      <x:c r="Q90" s="2"/>
    </x:row>
    <x:row r="91" ht="22" customHeight="1">
      <x:c r="A91" s="2"/>
      <x:c r="B91" s="2"/>
      <x:c r="C91" s="2"/>
      <x:c r="D91" s="3"/>
      <x:c r="E91" s="3"/>
      <x:c r="F91" s="3"/>
      <x:c r="G91" s="3"/>
      <x:c r="H91" s="3"/>
      <x:c r="I91" s="3"/>
      <x:c r="J91" s="2"/>
      <x:c r="K91" s="2"/>
      <x:c r="L91" s="2"/>
      <x:c r="M91" s="2"/>
      <x:c r="N91" s="2"/>
      <x:c r="O91" s="2"/>
      <x:c r="P91" s="2"/>
      <x:c r="Q91" s="2"/>
    </x:row>
    <x:row r="92" ht="22" customHeight="1">
      <x:c r="A92" s="2"/>
      <x:c r="B92" s="2"/>
      <x:c r="C92" s="2"/>
      <x:c r="D92" s="3"/>
      <x:c r="E92" s="3"/>
      <x:c r="F92" s="3"/>
      <x:c r="G92" s="3"/>
      <x:c r="H92" s="3"/>
      <x:c r="I92" s="3"/>
      <x:c r="J92" s="2"/>
      <x:c r="K92" s="2"/>
      <x:c r="L92" s="2"/>
      <x:c r="M92" s="2"/>
      <x:c r="N92" s="2"/>
      <x:c r="O92" s="2"/>
      <x:c r="P92" s="2"/>
      <x:c r="Q92" s="2"/>
    </x:row>
    <x:row r="93" ht="22" customHeight="1">
      <x:c r="A93" s="2"/>
      <x:c r="B93" s="2"/>
      <x:c r="C93" s="2"/>
      <x:c r="D93" s="3"/>
      <x:c r="E93" s="3"/>
      <x:c r="F93" s="3"/>
      <x:c r="G93" s="3"/>
      <x:c r="H93" s="3"/>
      <x:c r="I93" s="3"/>
      <x:c r="J93" s="2"/>
      <x:c r="K93" s="2"/>
      <x:c r="L93" s="2"/>
      <x:c r="M93" s="2"/>
      <x:c r="N93" s="2"/>
      <x:c r="O93" s="2"/>
      <x:c r="P93" s="2"/>
      <x:c r="Q93" s="2"/>
    </x:row>
    <x:row r="94" ht="22" customHeight="1">
      <x:c r="A94" s="2"/>
      <x:c r="B94" s="2"/>
      <x:c r="C94" s="2"/>
      <x:c r="D94" s="3"/>
      <x:c r="E94" s="3"/>
      <x:c r="F94" s="3"/>
      <x:c r="G94" s="3"/>
      <x:c r="H94" s="3"/>
      <x:c r="I94" s="3"/>
      <x:c r="J94" s="2"/>
      <x:c r="K94" s="2"/>
      <x:c r="L94" s="2"/>
      <x:c r="M94" s="2"/>
      <x:c r="N94" s="2"/>
      <x:c r="O94" s="2"/>
      <x:c r="P94" s="2"/>
      <x:c r="Q94" s="2"/>
    </x:row>
    <x:row r="95" ht="22" customHeight="1">
      <x:c r="A95" s="2"/>
      <x:c r="B95" s="2"/>
      <x:c r="C95" s="2"/>
      <x:c r="D95" s="3"/>
      <x:c r="E95" s="3"/>
      <x:c r="F95" s="3"/>
      <x:c r="G95" s="3"/>
      <x:c r="H95" s="3"/>
      <x:c r="I95" s="3"/>
      <x:c r="J95" s="2"/>
      <x:c r="K95" s="2"/>
      <x:c r="L95" s="2"/>
      <x:c r="M95" s="2"/>
      <x:c r="N95" s="2"/>
      <x:c r="O95" s="2"/>
      <x:c r="P95" s="2"/>
      <x:c r="Q95" s="2"/>
    </x:row>
    <x:row r="96" ht="22" customHeight="1">
      <x:c r="A96" s="2"/>
      <x:c r="B96" s="2"/>
      <x:c r="C96" s="2"/>
      <x:c r="D96" s="3"/>
      <x:c r="E96" s="3"/>
      <x:c r="F96" s="3"/>
      <x:c r="G96" s="3"/>
      <x:c r="H96" s="3"/>
      <x:c r="I96" s="3"/>
      <x:c r="J96" s="2"/>
      <x:c r="K96" s="2"/>
      <x:c r="L96" s="2"/>
      <x:c r="M96" s="2"/>
      <x:c r="N96" s="2"/>
      <x:c r="O96" s="2"/>
      <x:c r="P96" s="2"/>
      <x:c r="Q96" s="2"/>
    </x:row>
    <x:row r="97" ht="22" customHeight="1">
      <x:c r="A97" s="2"/>
      <x:c r="B97" s="2"/>
      <x:c r="C97" s="2"/>
      <x:c r="D97" s="3"/>
      <x:c r="E97" s="3"/>
      <x:c r="F97" s="3"/>
      <x:c r="G97" s="3"/>
      <x:c r="H97" s="3"/>
      <x:c r="I97" s="3"/>
      <x:c r="J97" s="2"/>
      <x:c r="K97" s="2"/>
      <x:c r="L97" s="2"/>
      <x:c r="M97" s="2"/>
      <x:c r="N97" s="2"/>
      <x:c r="O97" s="2"/>
      <x:c r="P97" s="2"/>
      <x:c r="Q97" s="2"/>
    </x:row>
    <x:row r="98" ht="22" customHeight="1">
      <x:c r="A98" s="2"/>
      <x:c r="B98" s="2"/>
      <x:c r="C98" s="2"/>
      <x:c r="D98" s="3"/>
      <x:c r="E98" s="3"/>
      <x:c r="F98" s="3"/>
      <x:c r="G98" s="3"/>
      <x:c r="H98" s="3"/>
      <x:c r="I98" s="3"/>
      <x:c r="J98" s="2"/>
      <x:c r="K98" s="2"/>
      <x:c r="L98" s="2"/>
      <x:c r="M98" s="2"/>
      <x:c r="N98" s="2"/>
      <x:c r="O98" s="2"/>
      <x:c r="P98" s="2"/>
      <x:c r="Q98" s="2"/>
    </x:row>
    <x:row r="99" ht="22" customHeight="1">
      <x:c r="A99" s="2"/>
      <x:c r="B99" s="2"/>
      <x:c r="C99" s="2"/>
      <x:c r="D99" s="3"/>
      <x:c r="E99" s="3"/>
      <x:c r="F99" s="3"/>
      <x:c r="G99" s="3"/>
      <x:c r="H99" s="3"/>
      <x:c r="I99" s="3"/>
      <x:c r="J99" s="2"/>
      <x:c r="K99" s="2"/>
      <x:c r="L99" s="2"/>
      <x:c r="M99" s="2"/>
      <x:c r="N99" s="2"/>
      <x:c r="O99" s="2"/>
      <x:c r="P99" s="2"/>
      <x:c r="Q99" s="2"/>
    </x:row>
    <x:row r="100" ht="22" customHeight="1">
      <x:c r="A100" s="2"/>
      <x:c r="B100" s="2"/>
      <x:c r="C100" s="2"/>
      <x:c r="D100" s="3"/>
      <x:c r="E100" s="3"/>
      <x:c r="F100" s="3"/>
      <x:c r="G100" s="3"/>
      <x:c r="H100" s="3"/>
      <x:c r="I100" s="3"/>
      <x:c r="J100" s="2"/>
      <x:c r="K100" s="2"/>
      <x:c r="L100" s="2"/>
      <x:c r="M100" s="2"/>
      <x:c r="N100" s="2"/>
      <x:c r="O100" s="2"/>
      <x:c r="P100" s="2"/>
      <x:c r="Q100" s="2"/>
    </x:row>
    <x:row r="101" ht="22" customHeight="1">
      <x:c r="A101" s="2"/>
      <x:c r="B101" s="2"/>
      <x:c r="C101" s="2"/>
      <x:c r="D101" s="3"/>
      <x:c r="E101" s="3"/>
      <x:c r="F101" s="3"/>
      <x:c r="G101" s="3"/>
      <x:c r="H101" s="3"/>
      <x:c r="I101" s="3"/>
      <x:c r="J101" s="2"/>
      <x:c r="K101" s="2"/>
      <x:c r="L101" s="2"/>
      <x:c r="M101" s="2"/>
      <x:c r="N101" s="2"/>
      <x:c r="O101" s="2"/>
      <x:c r="P101" s="2"/>
      <x:c r="Q101" s="2"/>
    </x:row>
    <x:row r="102" ht="22" customHeight="1">
      <x:c r="A102" s="2"/>
      <x:c r="B102" s="2"/>
      <x:c r="C102" s="2"/>
      <x:c r="D102" s="3"/>
      <x:c r="E102" s="3"/>
      <x:c r="F102" s="3"/>
      <x:c r="G102" s="3"/>
      <x:c r="H102" s="3"/>
      <x:c r="I102" s="3"/>
      <x:c r="J102" s="2"/>
      <x:c r="K102" s="2"/>
      <x:c r="L102" s="2"/>
      <x:c r="M102" s="2"/>
      <x:c r="N102" s="2"/>
      <x:c r="O102" s="2"/>
      <x:c r="P102" s="2"/>
      <x:c r="Q102" s="2"/>
    </x:row>
    <x:row r="103" ht="22" customHeight="1">
      <x:c r="A103" s="2"/>
      <x:c r="B103" s="2"/>
      <x:c r="C103" s="2"/>
      <x:c r="D103" s="3"/>
      <x:c r="E103" s="3"/>
      <x:c r="F103" s="3"/>
      <x:c r="G103" s="3"/>
      <x:c r="H103" s="3"/>
      <x:c r="I103" s="3"/>
      <x:c r="J103" s="2"/>
      <x:c r="K103" s="2"/>
      <x:c r="L103" s="2"/>
      <x:c r="M103" s="2"/>
      <x:c r="N103" s="2"/>
      <x:c r="O103" s="2"/>
      <x:c r="P103" s="2"/>
      <x:c r="Q103" s="2"/>
    </x:row>
    <x:row r="104" ht="22" customHeight="1">
      <x:c r="A104" s="2"/>
      <x:c r="B104" s="2"/>
      <x:c r="C104" s="2"/>
      <x:c r="D104" s="3"/>
      <x:c r="E104" s="3"/>
      <x:c r="F104" s="3"/>
      <x:c r="G104" s="3"/>
      <x:c r="H104" s="3"/>
      <x:c r="I104" s="3"/>
      <x:c r="J104" s="2"/>
      <x:c r="K104" s="2"/>
      <x:c r="L104" s="2"/>
      <x:c r="M104" s="2"/>
      <x:c r="N104" s="2"/>
      <x:c r="O104" s="2"/>
      <x:c r="P104" s="2"/>
      <x:c r="Q104" s="2"/>
    </x:row>
    <x:row r="105" ht="22" customHeight="1">
      <x:c r="A105" s="2"/>
      <x:c r="B105" s="2"/>
      <x:c r="C105" s="2"/>
      <x:c r="D105" s="3"/>
      <x:c r="E105" s="3"/>
      <x:c r="F105" s="3"/>
      <x:c r="G105" s="3"/>
      <x:c r="H105" s="3"/>
      <x:c r="I105" s="3"/>
      <x:c r="J105" s="2"/>
      <x:c r="K105" s="2"/>
      <x:c r="L105" s="2"/>
      <x:c r="M105" s="2"/>
      <x:c r="N105" s="2"/>
      <x:c r="O105" s="2"/>
      <x:c r="P105" s="2"/>
      <x:c r="Q105" s="2"/>
    </x:row>
    <x:row r="106" ht="22" customHeight="1">
      <x:c r="A106" s="2"/>
      <x:c r="B106" s="2"/>
      <x:c r="C106" s="2"/>
      <x:c r="D106" s="3"/>
      <x:c r="E106" s="3"/>
      <x:c r="F106" s="3"/>
      <x:c r="G106" s="3"/>
      <x:c r="H106" s="3"/>
      <x:c r="I106" s="3"/>
      <x:c r="J106" s="2"/>
      <x:c r="K106" s="2"/>
      <x:c r="L106" s="2"/>
      <x:c r="M106" s="2"/>
      <x:c r="N106" s="2"/>
      <x:c r="O106" s="2"/>
      <x:c r="P106" s="2"/>
      <x:c r="Q106" s="2"/>
    </x:row>
    <x:row r="107" ht="22" customHeight="1">
      <x:c r="A107" s="2"/>
      <x:c r="B107" s="2"/>
      <x:c r="C107" s="2"/>
      <x:c r="D107" s="3"/>
      <x:c r="E107" s="3"/>
      <x:c r="F107" s="3"/>
      <x:c r="G107" s="3"/>
      <x:c r="H107" s="3"/>
      <x:c r="I107" s="3"/>
      <x:c r="J107" s="2"/>
      <x:c r="K107" s="2"/>
      <x:c r="L107" s="2"/>
      <x:c r="M107" s="2"/>
      <x:c r="N107" s="2"/>
      <x:c r="O107" s="2"/>
      <x:c r="P107" s="2"/>
      <x:c r="Q107" s="2"/>
    </x:row>
    <x:row r="108" ht="22" customHeight="1">
      <x:c r="A108" s="2"/>
      <x:c r="B108" s="2"/>
      <x:c r="C108" s="2"/>
      <x:c r="D108" s="3"/>
      <x:c r="E108" s="3"/>
      <x:c r="F108" s="3"/>
      <x:c r="G108" s="3"/>
      <x:c r="H108" s="3"/>
      <x:c r="I108" s="3"/>
      <x:c r="J108" s="2"/>
      <x:c r="K108" s="2"/>
      <x:c r="L108" s="2"/>
      <x:c r="M108" s="2"/>
      <x:c r="N108" s="2"/>
      <x:c r="O108" s="2"/>
      <x:c r="P108" s="2"/>
      <x:c r="Q108" s="2"/>
    </x:row>
    <x:row r="109" ht="22" customHeight="1">
      <x:c r="A109" s="2"/>
      <x:c r="B109" s="2"/>
      <x:c r="C109" s="2"/>
      <x:c r="D109" s="3"/>
      <x:c r="E109" s="3"/>
      <x:c r="F109" s="3"/>
      <x:c r="G109" s="3"/>
      <x:c r="H109" s="3"/>
      <x:c r="I109" s="3"/>
      <x:c r="J109" s="2"/>
      <x:c r="K109" s="2"/>
      <x:c r="L109" s="2"/>
      <x:c r="M109" s="2"/>
      <x:c r="N109" s="2"/>
      <x:c r="O109" s="2"/>
      <x:c r="P109" s="2"/>
      <x:c r="Q109" s="2"/>
    </x:row>
    <x:row r="110" ht="22" customHeight="1">
      <x:c r="A110" s="2"/>
      <x:c r="B110" s="2"/>
      <x:c r="C110" s="2"/>
      <x:c r="D110" s="3"/>
      <x:c r="E110" s="3"/>
      <x:c r="F110" s="3"/>
      <x:c r="G110" s="3"/>
      <x:c r="H110" s="3"/>
      <x:c r="I110" s="3"/>
      <x:c r="J110" s="2"/>
      <x:c r="K110" s="2"/>
      <x:c r="L110" s="2"/>
      <x:c r="M110" s="2"/>
      <x:c r="N110" s="2"/>
      <x:c r="O110" s="2"/>
      <x:c r="P110" s="2"/>
      <x:c r="Q110" s="2"/>
    </x:row>
    <x:row r="111" ht="22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 ht="22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 ht="22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 ht="22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 ht="22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 ht="22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 ht="22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 ht="22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 ht="22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 ht="22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3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2" customHeight="1">
      <x:c r="A2" s="2"/>
      <x:c r="B2" s="2"/>
      <x:c r="C2" s="4" t="str">
        <x:v>Debt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</x:row>
    <x:row r="3" ht="22" customHeight="1">
      <x:c r="A3" s="2"/>
      <x:c r="B3" s="2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</x:row>
    <x:row r="4" ht="22" customHeight="1">
      <x:c r="A4" s="2"/>
      <x:c r="B4" s="2"/>
      <x:c r="C4" s="2" t="str">
        <x:v>USD millions | FY2025 historical; 2026–2030 forecast</x:v>
      </x:c>
      <x:c r="D4" s="2"/>
      <x:c r="E4" s="2"/>
      <x:c r="F4" s="2"/>
      <x:c r="G4" s="2"/>
      <x:c r="H4" s="2"/>
      <x:c r="I4" s="2"/>
      <x:c r="J4" s="2"/>
      <x:c r="K4" s="2" t="str">
        <x:v>Case Selected:</x:v>
      </x:c>
      <x:c r="L4" s="8" t="str">
        <x:f>CHOOSE(Assumptions!$D$5,"Base","Upside","Downside")</x:f>
        <x:v>Base</x:v>
      </x:c>
      <x:c r="M4" s="2"/>
      <x:c r="N4" s="2"/>
      <x:c r="O4" s="2"/>
      <x:c r="P4" s="2"/>
      <x:c r="Q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2" customHeight="1">
      <x:c r="A6" s="2"/>
      <x:c r="B6" s="2"/>
      <x:c r="C6" s="13"/>
      <x:c r="D6" s="46" t="n">
        <x:v>2026</x:v>
      </x:c>
      <x:c r="E6" s="46" t="n">
        <x:v>2027</x:v>
      </x:c>
      <x:c r="F6" s="46" t="n">
        <x:v>2028</x:v>
      </x:c>
      <x:c r="G6" s="46" t="n">
        <x:v>2029</x:v>
      </x:c>
      <x:c r="H6" s="46" t="n">
        <x:v>2030</x:v>
      </x:c>
      <x:c r="I6" s="14"/>
      <x:c r="J6" s="2"/>
      <x:c r="K6" s="2"/>
      <x:c r="L6" s="2"/>
      <x:c r="M6" s="2"/>
      <x:c r="N6" s="2"/>
      <x:c r="O6" s="2"/>
      <x:c r="P6" s="2"/>
      <x:c r="Q6" s="2"/>
    </x:row>
    <x:row r="7" ht="22" customHeight="1">
      <x:c r="A7" s="2"/>
      <x:c r="B7" s="2"/>
      <x:c r="C7" s="2" t="str">
        <x:v>Beginning senior debt</x:v>
      </x:c>
      <x:c r="D7" s="26" t="n">
        <x:f>Transaction!$D$13</x:f>
        <x:v>2131.5</x:v>
      </x:c>
      <x:c r="E7" s="27" t="n">
        <x:f>D20</x:f>
        <x:v>2059.04714375</x:v>
      </x:c>
      <x:c r="F7" s="27" t="n">
        <x:f>E20</x:f>
        <x:v>1902.748837126953</x:v>
      </x:c>
      <x:c r="G7" s="27" t="n">
        <x:f>F20</x:f>
        <x:v>1663.6360677967618</x:v>
      </x:c>
      <x:c r="H7" s="27" t="n">
        <x:f>G20</x:f>
        <x:v>1365.8733350101154</x:v>
      </x:c>
      <x:c r="I7" s="3"/>
      <x:c r="J7" s="2"/>
      <x:c r="K7" s="2"/>
      <x:c r="L7" s="2"/>
      <x:c r="M7" s="2"/>
      <x:c r="N7" s="2"/>
      <x:c r="O7" s="2"/>
      <x:c r="P7" s="2"/>
      <x:c r="Q7" s="2"/>
    </x:row>
    <x:row r="8" ht="22" customHeight="1">
      <x:c r="A8" s="2"/>
      <x:c r="B8" s="2"/>
      <x:c r="C8" s="2" t="str">
        <x:v>Beginning junior debt</x:v>
      </x:c>
      <x:c r="D8" s="26" t="n">
        <x:f>Transaction!$D$14</x:f>
        <x:v>609</x:v>
      </x:c>
      <x:c r="E8" s="27" t="n">
        <x:f>D21</x:f>
        <x:v>602.91</x:v>
      </x:c>
      <x:c r="F8" s="27" t="n">
        <x:f>E21</x:f>
        <x:v>596.8199999999999</x:v>
      </x:c>
      <x:c r="G8" s="27" t="n">
        <x:f>F21</x:f>
        <x:v>590.7299999999999</x:v>
      </x:c>
      <x:c r="H8" s="27" t="n">
        <x:f>G21</x:f>
        <x:v>584.6399999999999</x:v>
      </x:c>
      <x:c r="I8" s="3"/>
      <x:c r="J8" s="2"/>
      <x:c r="K8" s="2"/>
      <x:c r="L8" s="2"/>
      <x:c r="M8" s="2"/>
      <x:c r="N8" s="2"/>
      <x:c r="O8" s="2"/>
      <x:c r="P8" s="2"/>
      <x:c r="Q8" s="2"/>
    </x:row>
    <x:row r="9" ht="22" customHeight="1">
      <x:c r="A9" s="2"/>
      <x:c r="B9" s="2"/>
      <x:c r="C9" s="2" t="str">
        <x:v>Beginning cash</x:v>
      </x:c>
      <x:c r="D9" s="26" t="n">
        <x:f>Assumptions!$D$17</x:f>
        <x:v>100</x:v>
      </x:c>
      <x:c r="E9" s="27" t="n">
        <x:f>D23</x:f>
        <x:v>117.04595208333333</x:v>
      </x:c>
      <x:c r="F9" s="27" t="n">
        <x:f>E23</x:f>
        <x:v>144.9944355410156</x:v>
      </x:c>
      <x:c r="G9" s="27" t="n">
        <x:f>F23</x:f>
        <x:v>172.599256443397</x:v>
      </x:c>
      <x:c r="H9" s="27" t="n">
        <x:f>G23</x:f>
        <x:v>192.14924426221546</x:v>
      </x:c>
      <x:c r="I9" s="3"/>
      <x:c r="J9" s="2"/>
      <x:c r="K9" s="2"/>
      <x:c r="L9" s="2"/>
      <x:c r="M9" s="2"/>
      <x:c r="N9" s="2"/>
      <x:c r="O9" s="2"/>
      <x:c r="P9" s="2"/>
      <x:c r="Q9" s="2"/>
    </x:row>
    <x:row r="10" ht="22" customHeight="1">
      <x:c r="A10" s="2"/>
      <x:c r="B10" s="2"/>
      <x:c r="C10" s="2" t="str">
        <x:v>Senior interest rate</x:v>
      </x:c>
      <x:c r="D10" s="29" t="n">
        <x:f>Assumptions!$D$12+Assumptions!D74</x:f>
        <x:v>0.075</x:v>
      </x:c>
      <x:c r="E10" s="29" t="n">
        <x:f>Assumptions!$D$12+Assumptions!E74</x:f>
        <x:v>0.075</x:v>
      </x:c>
      <x:c r="F10" s="29" t="n">
        <x:f>Assumptions!$D$12+Assumptions!F74</x:f>
        <x:v>0.075</x:v>
      </x:c>
      <x:c r="G10" s="29" t="n">
        <x:f>Assumptions!$D$12+Assumptions!G74</x:f>
        <x:v>0.075</x:v>
      </x:c>
      <x:c r="H10" s="29" t="n">
        <x:f>Assumptions!$D$12+Assumptions!H74</x:f>
        <x:v>0.075</x:v>
      </x:c>
      <x:c r="I10" s="3"/>
      <x:c r="J10" s="2"/>
      <x:c r="K10" s="2"/>
      <x:c r="L10" s="2"/>
      <x:c r="M10" s="2"/>
      <x:c r="N10" s="2"/>
      <x:c r="O10" s="2"/>
      <x:c r="P10" s="2"/>
      <x:c r="Q10" s="2"/>
    </x:row>
    <x:row r="11" ht="22" customHeight="1">
      <x:c r="A11" s="2"/>
      <x:c r="B11" s="2"/>
      <x:c r="C11" s="2" t="str">
        <x:v>Junior interest rate</x:v>
      </x:c>
      <x:c r="D11" s="29" t="n">
        <x:f>Assumptions!$D$13+Assumptions!D74</x:f>
        <x:v>0.105</x:v>
      </x:c>
      <x:c r="E11" s="29" t="n">
        <x:f>Assumptions!$D$13+Assumptions!E74</x:f>
        <x:v>0.105</x:v>
      </x:c>
      <x:c r="F11" s="29" t="n">
        <x:f>Assumptions!$D$13+Assumptions!F74</x:f>
        <x:v>0.105</x:v>
      </x:c>
      <x:c r="G11" s="29" t="n">
        <x:f>Assumptions!$D$13+Assumptions!G74</x:f>
        <x:v>0.105</x:v>
      </x:c>
      <x:c r="H11" s="29" t="n">
        <x:f>Assumptions!$D$13+Assumptions!H74</x:f>
        <x:v>0.105</x:v>
      </x:c>
      <x:c r="I11" s="3"/>
      <x:c r="J11" s="2"/>
      <x:c r="K11" s="2"/>
      <x:c r="L11" s="2"/>
      <x:c r="M11" s="2"/>
      <x:c r="N11" s="2"/>
      <x:c r="O11" s="2"/>
      <x:c r="P11" s="2"/>
      <x:c r="Q11" s="2"/>
    </x:row>
    <x:row r="12" ht="22" customHeight="1">
      <x:c r="A12" s="2"/>
      <x:c r="B12" s="2"/>
      <x:c r="C12" s="2" t="str">
        <x:v>Interest on opening debt</x:v>
      </x:c>
      <x:c r="D12" s="27" t="n">
        <x:f>D7*D10+D8*D11</x:f>
        <x:v>223.80749999999998</x:v>
      </x:c>
      <x:c r="E12" s="27" t="n">
        <x:f>E7*E10+E8*E11</x:f>
        <x:v>217.73408578124997</x:v>
      </x:c>
      <x:c r="F12" s="27" t="n">
        <x:f>F7*F10+F8*F11</x:f>
        <x:v>205.37226278452147</x:v>
      </x:c>
      <x:c r="G12" s="27" t="n">
        <x:f>G7*G10+G8*G11</x:f>
        <x:v>186.7993550847571</x:v>
      </x:c>
      <x:c r="H12" s="27" t="n">
        <x:f>H7*H10+H8*H11</x:f>
        <x:v>163.82770012575864</x:v>
      </x:c>
      <x:c r="I12" s="3"/>
      <x:c r="J12" s="2"/>
      <x:c r="K12" s="2"/>
      <x:c r="L12" s="2"/>
      <x:c r="M12" s="2"/>
      <x:c r="N12" s="2"/>
      <x:c r="O12" s="2"/>
      <x:c r="P12" s="2"/>
      <x:c r="Q12" s="2"/>
    </x:row>
    <x:row r="13" ht="22" customHeight="1">
      <x:c r="A13" s="2"/>
      <x:c r="B13" s="2"/>
      <x:c r="C13" s="2" t="str">
        <x:v>Mandatory senior amortization</x:v>
      </x:c>
      <x:c r="D13" s="26" t="n">
        <x:f>MIN(D7,Transaction!$D$13*Assumptions!$D$14)</x:f>
        <x:v>21.315</x:v>
      </x:c>
      <x:c r="E13" s="26" t="n">
        <x:f>MIN(E7,Transaction!$D$13*Assumptions!$D$14)</x:f>
        <x:v>21.315</x:v>
      </x:c>
      <x:c r="F13" s="26" t="n">
        <x:f>MIN(F7,Transaction!$D$13*Assumptions!$D$14)</x:f>
        <x:v>21.315</x:v>
      </x:c>
      <x:c r="G13" s="26" t="n">
        <x:f>MIN(G7,Transaction!$D$13*Assumptions!$D$14)</x:f>
        <x:v>21.315</x:v>
      </x:c>
      <x:c r="H13" s="26" t="n">
        <x:f>MIN(H7,Transaction!$D$13*Assumptions!$D$14)</x:f>
        <x:v>21.315</x:v>
      </x:c>
      <x:c r="I13" s="3"/>
      <x:c r="J13" s="2"/>
      <x:c r="K13" s="2"/>
      <x:c r="L13" s="2"/>
      <x:c r="M13" s="2"/>
      <x:c r="N13" s="2"/>
      <x:c r="O13" s="2"/>
      <x:c r="P13" s="2"/>
      <x:c r="Q13" s="2"/>
    </x:row>
    <x:row r="14" ht="22" customHeight="1">
      <x:c r="A14" s="2"/>
      <x:c r="B14" s="2"/>
      <x:c r="C14" s="2" t="str">
        <x:v>Mandatory junior amortization</x:v>
      </x:c>
      <x:c r="D14" s="26" t="n">
        <x:f>MIN(D8,Transaction!$D$14*Assumptions!$D$15)</x:f>
        <x:v>6.09</x:v>
      </x:c>
      <x:c r="E14" s="26" t="n">
        <x:f>MIN(E8,Transaction!$D$14*Assumptions!$D$15)</x:f>
        <x:v>6.09</x:v>
      </x:c>
      <x:c r="F14" s="26" t="n">
        <x:f>MIN(F8,Transaction!$D$14*Assumptions!$D$15)</x:f>
        <x:v>6.09</x:v>
      </x:c>
      <x:c r="G14" s="26" t="n">
        <x:f>MIN(G8,Transaction!$D$14*Assumptions!$D$15)</x:f>
        <x:v>6.09</x:v>
      </x:c>
      <x:c r="H14" s="26" t="n">
        <x:f>MIN(H8,Transaction!$D$14*Assumptions!$D$15)</x:f>
        <x:v>6.09</x:v>
      </x:c>
      <x:c r="I14" s="3"/>
      <x:c r="J14" s="2"/>
      <x:c r="K14" s="2"/>
      <x:c r="L14" s="2"/>
      <x:c r="M14" s="2"/>
      <x:c r="N14" s="2"/>
      <x:c r="O14" s="2"/>
      <x:c r="P14" s="2"/>
      <x:c r="Q14" s="2"/>
    </x:row>
    <x:row r="15" ht="22" customHeight="1">
      <x:c r="A15" s="2"/>
      <x:c r="B15" s="2"/>
      <x:c r="C15" s="2" t="str">
        <x:v>Cash flow before debt repayment</x:v>
      </x:c>
      <x:c r="D15" s="26" t="n">
        <x:f>Operating!D26-Operating!D16</x:f>
        <x:v>95.5888083333333</x:v>
      </x:c>
      <x:c r="E15" s="26" t="n">
        <x:f>Operating!E26-Operating!E16</x:f>
        <x:v>190.33679008072912</x:v>
      </x:c>
      <x:c r="F15" s="26" t="n">
        <x:f>Operating!F26-Operating!F16</x:f>
        <x:v>272.8075902325724</x:v>
      </x:c>
      <x:c r="G15" s="26" t="n">
        <x:f>Operating!G26-Operating!G16</x:f>
        <x:v>323.40272060546476</x:v>
      </x:c>
      <x:c r="H15" s="26" t="n">
        <x:f>Operating!H26-Operating!H16</x:f>
        <x:v>353.5770514363599</x:v>
      </x:c>
      <x:c r="I15" s="3"/>
      <x:c r="J15" s="2"/>
      <x:c r="K15" s="2"/>
      <x:c r="L15" s="2"/>
      <x:c r="M15" s="2"/>
      <x:c r="N15" s="2"/>
      <x:c r="O15" s="2"/>
      <x:c r="P15" s="2"/>
      <x:c r="Q15" s="2"/>
    </x:row>
    <x:row r="16" ht="22" customHeight="1">
      <x:c r="A16" s="2"/>
      <x:c r="B16" s="2"/>
      <x:c r="C16" s="2" t="str">
        <x:v>Required sponsor equity injection</x:v>
      </x:c>
      <x:c r="D16" s="26" t="n">
        <x:f>MAX(Assumptions!$D$17-(D9+D15-D13-D14),0)</x:f>
        <x:v>0</x:v>
      </x:c>
      <x:c r="E16" s="26" t="n">
        <x:f>MAX(Assumptions!$D$17-(E9+E15-E13-E14),0)</x:f>
        <x:v>0</x:v>
      </x:c>
      <x:c r="F16" s="26" t="n">
        <x:f>MAX(Assumptions!$D$17-(F9+F15-F13-F14),0)</x:f>
        <x:v>0</x:v>
      </x:c>
      <x:c r="G16" s="26" t="n">
        <x:f>MAX(Assumptions!$D$17-(G9+G15-G13-G14),0)</x:f>
        <x:v>0</x:v>
      </x:c>
      <x:c r="H16" s="26" t="n">
        <x:f>MAX(Assumptions!$D$17-(H9+H15-H13-H14),0)</x:f>
        <x:v>0</x:v>
      </x:c>
      <x:c r="I16" s="3"/>
      <x:c r="J16" s="2"/>
      <x:c r="K16" s="2"/>
      <x:c r="L16" s="2"/>
      <x:c r="M16" s="2"/>
      <x:c r="N16" s="2"/>
      <x:c r="O16" s="2"/>
      <x:c r="P16" s="2"/>
      <x:c r="Q16" s="2"/>
    </x:row>
    <x:row r="17" ht="22" customHeight="1">
      <x:c r="A17" s="2"/>
      <x:c r="B17" s="2"/>
      <x:c r="C17" s="2" t="str">
        <x:v>Cash available for sweep</x:v>
      </x:c>
      <x:c r="D17" s="26" t="n">
        <x:f>MAX(D9+D15+D16-D13-D14-Assumptions!$D$17,0)*Assumptions!$D$16</x:f>
        <x:v>51.13785624999998</x:v>
      </x:c>
      <x:c r="E17" s="26" t="n">
        <x:f>MAX(E9+E15+E16-E13-E14-Assumptions!$D$17,0)*Assumptions!$D$16</x:f>
        <x:v>134.98330662304687</x:v>
      </x:c>
      <x:c r="F17" s="26" t="n">
        <x:f>MAX(F9+F15+F16-F13-F14-Assumptions!$D$17,0)*Assumptions!$D$16</x:f>
        <x:v>217.79776933019104</x:v>
      </x:c>
      <x:c r="G17" s="26" t="n">
        <x:f>MAX(G9+G15+G16-G13-G14-Assumptions!$D$17,0)*Assumptions!$D$16</x:f>
        <x:v>276.4477327866463</x:v>
      </x:c>
      <x:c r="H17" s="26" t="n">
        <x:f>MAX(H9+H15+H16-H13-H14-Assumptions!$D$17,0)*Assumptions!$D$16</x:f>
        <x:v>313.7409717739314</x:v>
      </x:c>
      <x:c r="I17" s="3"/>
      <x:c r="J17" s="2"/>
      <x:c r="K17" s="2"/>
      <x:c r="L17" s="2"/>
      <x:c r="M17" s="2"/>
      <x:c r="N17" s="2"/>
      <x:c r="O17" s="2"/>
      <x:c r="P17" s="2"/>
      <x:c r="Q17" s="2"/>
    </x:row>
    <x:row r="18" ht="22" customHeight="1">
      <x:c r="A18" s="2"/>
      <x:c r="B18" s="2"/>
      <x:c r="C18" s="2" t="str">
        <x:v>Senior cash sweep</x:v>
      </x:c>
      <x:c r="D18" s="27" t="n">
        <x:f>MIN(D7-D13,D17)</x:f>
        <x:v>51.13785624999998</x:v>
      </x:c>
      <x:c r="E18" s="27" t="n">
        <x:f>MIN(E7-E13,E17)</x:f>
        <x:v>134.98330662304687</x:v>
      </x:c>
      <x:c r="F18" s="27" t="n">
        <x:f>MIN(F7-F13,F17)</x:f>
        <x:v>217.79776933019104</x:v>
      </x:c>
      <x:c r="G18" s="27" t="n">
        <x:f>MIN(G7-G13,G17)</x:f>
        <x:v>276.4477327866463</x:v>
      </x:c>
      <x:c r="H18" s="27" t="n">
        <x:f>MIN(H7-H13,H17)</x:f>
        <x:v>313.7409717739314</x:v>
      </x:c>
      <x:c r="I18" s="3"/>
      <x:c r="J18" s="2"/>
      <x:c r="K18" s="2"/>
      <x:c r="L18" s="2"/>
      <x:c r="M18" s="2"/>
      <x:c r="N18" s="2"/>
      <x:c r="O18" s="2"/>
      <x:c r="P18" s="2"/>
      <x:c r="Q18" s="2"/>
    </x:row>
    <x:row r="19" ht="22" customHeight="1">
      <x:c r="A19" s="2"/>
      <x:c r="B19" s="2"/>
      <x:c r="C19" s="2" t="str">
        <x:v>Junior cash sweep</x:v>
      </x:c>
      <x:c r="D19" s="27" t="n">
        <x:f>MIN(D8-D14,D17-D18)</x:f>
        <x:v>0</x:v>
      </x:c>
      <x:c r="E19" s="27" t="n">
        <x:f>MIN(E8-E14,E17-E18)</x:f>
        <x:v>0</x:v>
      </x:c>
      <x:c r="F19" s="27" t="n">
        <x:f>MIN(F8-F14,F17-F18)</x:f>
        <x:v>0</x:v>
      </x:c>
      <x:c r="G19" s="27" t="n">
        <x:f>MIN(G8-G14,G17-G18)</x:f>
        <x:v>0</x:v>
      </x:c>
      <x:c r="H19" s="27" t="n">
        <x:f>MIN(H8-H14,H17-H18)</x:f>
        <x:v>0</x:v>
      </x:c>
      <x:c r="I19" s="3"/>
      <x:c r="J19" s="2"/>
      <x:c r="K19" s="2"/>
      <x:c r="L19" s="2"/>
      <x:c r="M19" s="2"/>
      <x:c r="N19" s="2"/>
      <x:c r="O19" s="2"/>
      <x:c r="P19" s="2"/>
      <x:c r="Q19" s="2"/>
    </x:row>
    <x:row r="20" ht="22" customHeight="1">
      <x:c r="A20" s="2"/>
      <x:c r="B20" s="2"/>
      <x:c r="C20" s="2" t="str">
        <x:v>Ending senior debt</x:v>
      </x:c>
      <x:c r="D20" s="27" t="n">
        <x:f>D7-D13-D18</x:f>
        <x:v>2059.04714375</x:v>
      </x:c>
      <x:c r="E20" s="27" t="n">
        <x:f>E7-E13-E18</x:f>
        <x:v>1902.748837126953</x:v>
      </x:c>
      <x:c r="F20" s="27" t="n">
        <x:f>F7-F13-F18</x:f>
        <x:v>1663.6360677967618</x:v>
      </x:c>
      <x:c r="G20" s="27" t="n">
        <x:f>G7-G13-G18</x:f>
        <x:v>1365.8733350101154</x:v>
      </x:c>
      <x:c r="H20" s="27" t="n">
        <x:f>H7-H13-H18</x:f>
        <x:v>1030.817363236184</x:v>
      </x:c>
      <x:c r="I20" s="3"/>
      <x:c r="J20" s="2"/>
      <x:c r="K20" s="2"/>
      <x:c r="L20" s="2"/>
      <x:c r="M20" s="2"/>
      <x:c r="N20" s="2"/>
      <x:c r="O20" s="2"/>
      <x:c r="P20" s="2"/>
      <x:c r="Q20" s="2"/>
    </x:row>
    <x:row r="21" ht="22" customHeight="1">
      <x:c r="A21" s="2"/>
      <x:c r="B21" s="2"/>
      <x:c r="C21" s="2" t="str">
        <x:v>Ending junior debt</x:v>
      </x:c>
      <x:c r="D21" s="27" t="n">
        <x:f>D8-D14-D19</x:f>
        <x:v>602.91</x:v>
      </x:c>
      <x:c r="E21" s="27" t="n">
        <x:f>E8-E14-E19</x:f>
        <x:v>596.8199999999999</x:v>
      </x:c>
      <x:c r="F21" s="27" t="n">
        <x:f>F8-F14-F19</x:f>
        <x:v>590.7299999999999</x:v>
      </x:c>
      <x:c r="G21" s="27" t="n">
        <x:f>G8-G14-G19</x:f>
        <x:v>584.6399999999999</x:v>
      </x:c>
      <x:c r="H21" s="27" t="n">
        <x:f>H8-H14-H19</x:f>
        <x:v>578.5499999999998</x:v>
      </x:c>
      <x:c r="I21" s="3"/>
      <x:c r="J21" s="2"/>
      <x:c r="K21" s="2"/>
      <x:c r="L21" s="2"/>
      <x:c r="M21" s="2"/>
      <x:c r="N21" s="2"/>
      <x:c r="O21" s="2"/>
      <x:c r="P21" s="2"/>
      <x:c r="Q21" s="2"/>
    </x:row>
    <x:row r="22" ht="22" customHeight="1">
      <x:c r="A22" s="2"/>
      <x:c r="B22" s="2"/>
      <x:c r="C22" s="2" t="str">
        <x:v>Ending total debt</x:v>
      </x:c>
      <x:c r="D22" s="27" t="n">
        <x:f>D20+D21</x:f>
        <x:v>2661.95714375</x:v>
      </x:c>
      <x:c r="E22" s="27" t="n">
        <x:f>E20+E21</x:f>
        <x:v>2499.568837126953</x:v>
      </x:c>
      <x:c r="F22" s="27" t="n">
        <x:f>F20+F21</x:f>
        <x:v>2254.366067796762</x:v>
      </x:c>
      <x:c r="G22" s="27" t="n">
        <x:f>G20+G21</x:f>
        <x:v>1950.5133350101153</x:v>
      </x:c>
      <x:c r="H22" s="27" t="n">
        <x:f>H20+H21</x:f>
        <x:v>1609.3673632361838</x:v>
      </x:c>
      <x:c r="I22" s="3"/>
      <x:c r="J22" s="2"/>
      <x:c r="K22" s="2"/>
      <x:c r="L22" s="2"/>
      <x:c r="M22" s="2"/>
      <x:c r="N22" s="2"/>
      <x:c r="O22" s="2"/>
      <x:c r="P22" s="2"/>
      <x:c r="Q22" s="2"/>
    </x:row>
    <x:row r="23" ht="22" customHeight="1">
      <x:c r="A23" s="2"/>
      <x:c r="B23" s="2"/>
      <x:c r="C23" s="2" t="str">
        <x:v>Ending unrestricted cash</x:v>
      </x:c>
      <x:c r="D23" s="27" t="n">
        <x:f>D9+D15+D16-D13-D14-D18-D19</x:f>
        <x:v>117.04595208333333</x:v>
      </x:c>
      <x:c r="E23" s="27" t="n">
        <x:f>E9+E15+E16-E13-E14-E18-E19</x:f>
        <x:v>144.9944355410156</x:v>
      </x:c>
      <x:c r="F23" s="27" t="n">
        <x:f>F9+F15+F16-F13-F14-F18-F19</x:f>
        <x:v>172.599256443397</x:v>
      </x:c>
      <x:c r="G23" s="27" t="n">
        <x:f>G9+G15+G16-G13-G14-G18-G19</x:f>
        <x:v>192.14924426221546</x:v>
      </x:c>
      <x:c r="H23" s="27" t="n">
        <x:f>H9+H15+H16-H13-H14-H18-H19</x:f>
        <x:v>204.58032392464384</x:v>
      </x:c>
      <x:c r="I23" s="3"/>
      <x:c r="J23" s="2"/>
      <x:c r="K23" s="2"/>
      <x:c r="L23" s="2"/>
      <x:c r="M23" s="2"/>
      <x:c r="N23" s="2"/>
      <x:c r="O23" s="2"/>
      <x:c r="P23" s="2"/>
      <x:c r="Q23" s="2"/>
    </x:row>
    <x:row r="24" ht="22" customHeight="1">
      <x:c r="A24" s="2"/>
      <x:c r="B24" s="2"/>
      <x:c r="C24" s="2" t="str">
        <x:v>DSCR after capex and tax</x:v>
      </x:c>
      <x:c r="D24" s="30" t="n">
        <x:f>(Operating!D15-Operating!D21-Operating!D16-Operating!D25)/(D12+D13+D14)</x:f>
        <x:v>1.2714188519016105</x:v>
      </x:c>
      <x:c r="E24" s="30" t="n">
        <x:f>(Operating!E15-Operating!E21-Operating!E16-Operating!E25)/(E12+E13+E14)</x:f>
        <x:v>1.66465039453611</x:v>
      </x:c>
      <x:c r="F24" s="30" t="n">
        <x:f>(Operating!F15-Operating!F21-Operating!F16-Operating!F25)/(F12+F13+F14)</x:f>
        <x:v>2.054237803542428</x:v>
      </x:c>
      <x:c r="G24" s="30" t="n">
        <x:f>(Operating!G15-Operating!G21-Operating!G16-Operating!G25)/(G12+G13+G14)</x:f>
        <x:v>2.381847350808266</x:v>
      </x:c>
      <x:c r="H24" s="30" t="n">
        <x:f>(Operating!H15-Operating!H21-Operating!H16-Operating!H25)/(H12+H13+H14)</x:f>
        <x:v>2.7056290645996337</x:v>
      </x:c>
      <x:c r="I24" s="3"/>
      <x:c r="J24" s="2"/>
      <x:c r="K24" s="2"/>
      <x:c r="L24" s="2"/>
      <x:c r="M24" s="2"/>
      <x:c r="N24" s="2"/>
      <x:c r="O24" s="2"/>
      <x:c r="P24" s="2"/>
      <x:c r="Q24" s="2"/>
    </x:row>
    <x:row r="25" ht="22" customHeight="1">
      <x:c r="A25" s="2"/>
      <x:c r="B25" s="2"/>
      <x:c r="C25" s="2" t="str">
        <x:v>Gross debt / EBITDA</x:v>
      </x:c>
      <x:c r="D25" s="30" t="n">
        <x:f>D22/Operating!D15</x:f>
        <x:v>4.147669449807543</x:v>
      </x:c>
      <x:c r="E25" s="30" t="n">
        <x:f>E22/Operating!E15</x:f>
        <x:v>3.614471663098089</x:v>
      </x:c>
      <x:c r="F25" s="30" t="n">
        <x:f>F22/Operating!F15</x:f>
        <x:v>3.0514829495801186</x:v>
      </x:c>
      <x:c r="G25" s="30" t="n">
        <x:f>G22/Operating!G15</x:f>
        <x:v>2.528096671802484</x:v>
      </x:c>
      <x:c r="H25" s="30" t="n">
        <x:f>H22/Operating!H15</x:f>
        <x:v>2.035054655801154</x:v>
      </x:c>
      <x:c r="I25" s="3"/>
      <x:c r="J25" s="2"/>
      <x:c r="K25" s="2"/>
      <x:c r="L25" s="2"/>
      <x:c r="M25" s="2"/>
      <x:c r="N25" s="2"/>
      <x:c r="O25" s="2"/>
      <x:c r="P25" s="2"/>
      <x:c r="Q25" s="2"/>
    </x:row>
    <x:row r="26" ht="22" customHeight="1">
      <x:c r="A26" s="2"/>
      <x:c r="B26" s="2"/>
      <x:c r="C26" s="2" t="str">
        <x:v>DSCR headroom vs. assumed minimum</x:v>
      </x:c>
      <x:c r="D26" s="30" t="n">
        <x:f>D24-Assumptions!$D$25</x:f>
        <x:v>0.021418851901610525</x:v>
      </x:c>
      <x:c r="E26" s="30" t="n">
        <x:f>E24-Assumptions!$D$25</x:f>
        <x:v>0.41465039453610997</x:v>
      </x:c>
      <x:c r="F26" s="30" t="n">
        <x:f>F24-Assumptions!$D$25</x:f>
        <x:v>0.8042378035424278</x:v>
      </x:c>
      <x:c r="G26" s="30" t="n">
        <x:f>G24-Assumptions!$D$25</x:f>
        <x:v>1.131847350808266</x:v>
      </x:c>
      <x:c r="H26" s="30" t="n">
        <x:f>H24-Assumptions!$D$25</x:f>
        <x:v>1.4556290645996337</x:v>
      </x:c>
      <x:c r="I26" s="3"/>
      <x:c r="J26" s="2"/>
      <x:c r="K26" s="2"/>
      <x:c r="L26" s="2"/>
      <x:c r="M26" s="2"/>
      <x:c r="N26" s="2"/>
      <x:c r="O26" s="2"/>
      <x:c r="P26" s="2"/>
      <x:c r="Q26" s="2"/>
    </x:row>
    <x:row r="27" ht="22" customHeight="1">
      <x:c r="A27" s="2"/>
      <x:c r="B27" s="2"/>
      <x:c r="C27" s="2" t="str">
        <x:v>Leverage headroom vs. assumed maximum</x:v>
      </x:c>
      <x:c r="D27" s="30" t="n">
        <x:f>Assumptions!$D$24-D25</x:f>
        <x:v>1.8523305501924572</x:v>
      </x:c>
      <x:c r="E27" s="30" t="n">
        <x:f>Assumptions!$D$24-E25</x:f>
        <x:v>2.385528336901911</x:v>
      </x:c>
      <x:c r="F27" s="30" t="n">
        <x:f>Assumptions!$D$24-F25</x:f>
        <x:v>2.9485170504198814</x:v>
      </x:c>
      <x:c r="G27" s="30" t="n">
        <x:f>Assumptions!$D$24-G25</x:f>
        <x:v>3.471903328197516</x:v>
      </x:c>
      <x:c r="H27" s="30" t="n">
        <x:f>Assumptions!$D$24-H25</x:f>
        <x:v>3.964945344198846</x:v>
      </x:c>
      <x:c r="I27" s="3"/>
      <x:c r="J27" s="2"/>
      <x:c r="K27" s="2"/>
      <x:c r="L27" s="2"/>
      <x:c r="M27" s="2"/>
      <x:c r="N27" s="2"/>
      <x:c r="O27" s="2"/>
      <x:c r="P27" s="2"/>
      <x:c r="Q27" s="2"/>
    </x:row>
    <x:row r="28" ht="22" customHeight="1">
      <x:c r="A28" s="2"/>
      <x:c r="B28" s="2"/>
      <x:c r="C28" s="2" t="str">
        <x:v>Investor cash flow before exit</x:v>
      </x:c>
      <x:c r="D28" s="27" t="n">
        <x:f>-D16</x:f>
        <x:v>0</x:v>
      </x:c>
      <x:c r="E28" s="27" t="n">
        <x:f>-E16</x:f>
        <x:v>0</x:v>
      </x:c>
      <x:c r="F28" s="27" t="n">
        <x:f>-F16</x:f>
        <x:v>0</x:v>
      </x:c>
      <x:c r="G28" s="27" t="n">
        <x:f>-G16</x:f>
        <x:v>0</x:v>
      </x:c>
      <x:c r="H28" s="27" t="n">
        <x:f>-H16</x:f>
        <x:v>0</x:v>
      </x:c>
      <x:c r="I28" s="3"/>
      <x:c r="J28" s="2"/>
      <x:c r="K28" s="2"/>
      <x:c r="L28" s="2"/>
      <x:c r="M28" s="2"/>
      <x:c r="N28" s="2"/>
      <x:c r="O28" s="2"/>
      <x:c r="P28" s="2"/>
      <x:c r="Q28" s="2"/>
    </x:row>
    <x:row r="29" ht="22" customHeight="1">
      <x:c r="A29" s="2"/>
      <x:c r="B29" s="2"/>
      <x:c r="C29" s="2"/>
      <x:c r="D29" s="3"/>
      <x:c r="E29" s="3"/>
      <x:c r="F29" s="3"/>
      <x:c r="G29" s="3"/>
      <x:c r="H29" s="3"/>
      <x:c r="I29" s="3"/>
      <x:c r="J29" s="2"/>
      <x:c r="K29" s="2"/>
      <x:c r="L29" s="2"/>
      <x:c r="M29" s="2"/>
      <x:c r="N29" s="2"/>
      <x:c r="O29" s="2"/>
      <x:c r="P29" s="2"/>
      <x:c r="Q29" s="2"/>
    </x:row>
    <x:row r="30" ht="22" customHeight="1">
      <x:c r="A30" s="2"/>
      <x:c r="B30" s="2"/>
      <x:c r="C30" s="2"/>
      <x:c r="D30" s="3"/>
      <x:c r="E30" s="3"/>
      <x:c r="F30" s="3"/>
      <x:c r="G30" s="3"/>
      <x:c r="H30" s="3"/>
      <x:c r="I30" s="3"/>
      <x:c r="J30" s="2"/>
      <x:c r="K30" s="2"/>
      <x:c r="L30" s="2"/>
      <x:c r="M30" s="2"/>
      <x:c r="N30" s="2"/>
      <x:c r="O30" s="2"/>
      <x:c r="P30" s="2"/>
      <x:c r="Q30" s="2"/>
    </x:row>
    <x:row r="31" ht="22" customHeight="1">
      <x:c r="A31" s="2"/>
      <x:c r="B31" s="2"/>
      <x:c r="C31" s="2"/>
      <x:c r="D31" s="3"/>
      <x:c r="E31" s="3"/>
      <x:c r="F31" s="3"/>
      <x:c r="G31" s="3"/>
      <x:c r="H31" s="3"/>
      <x:c r="I31" s="3"/>
      <x:c r="J31" s="2"/>
      <x:c r="K31" s="2"/>
      <x:c r="L31" s="2"/>
      <x:c r="M31" s="2"/>
      <x:c r="N31" s="2"/>
      <x:c r="O31" s="2"/>
      <x:c r="P31" s="2"/>
      <x:c r="Q31" s="2"/>
    </x:row>
    <x:row r="32" ht="22" customHeight="1">
      <x:c r="A32" s="2"/>
      <x:c r="B32" s="2"/>
      <x:c r="C32" s="2"/>
      <x:c r="D32" s="3"/>
      <x:c r="E32" s="3"/>
      <x:c r="F32" s="3"/>
      <x:c r="G32" s="3"/>
      <x:c r="H32" s="3"/>
      <x:c r="I32" s="3"/>
      <x:c r="J32" s="2"/>
      <x:c r="K32" s="2"/>
      <x:c r="L32" s="2"/>
      <x:c r="M32" s="2"/>
      <x:c r="N32" s="2"/>
      <x:c r="O32" s="2"/>
      <x:c r="P32" s="2"/>
      <x:c r="Q32" s="2"/>
    </x:row>
    <x:row r="33" ht="22" customHeight="1">
      <x:c r="A33" s="2"/>
      <x:c r="B33" s="2"/>
      <x:c r="C33" s="2"/>
      <x:c r="D33" s="3"/>
      <x:c r="E33" s="3"/>
      <x:c r="F33" s="3"/>
      <x:c r="G33" s="3"/>
      <x:c r="H33" s="3"/>
      <x:c r="I33" s="3"/>
      <x:c r="J33" s="2"/>
      <x:c r="K33" s="2"/>
      <x:c r="L33" s="2"/>
      <x:c r="M33" s="2"/>
      <x:c r="N33" s="2"/>
      <x:c r="O33" s="2"/>
      <x:c r="P33" s="2"/>
      <x:c r="Q33" s="2"/>
    </x:row>
    <x:row r="34" ht="22" customHeight="1">
      <x:c r="A34" s="2"/>
      <x:c r="B34" s="2"/>
      <x:c r="C34" s="2"/>
      <x:c r="D34" s="3"/>
      <x:c r="E34" s="3"/>
      <x:c r="F34" s="3"/>
      <x:c r="G34" s="3"/>
      <x:c r="H34" s="3"/>
      <x:c r="I34" s="3"/>
      <x:c r="J34" s="2"/>
      <x:c r="K34" s="2"/>
      <x:c r="L34" s="2"/>
      <x:c r="M34" s="2"/>
      <x:c r="N34" s="2"/>
      <x:c r="O34" s="2"/>
      <x:c r="P34" s="2"/>
      <x:c r="Q34" s="2"/>
    </x:row>
    <x:row r="35" ht="22" customHeight="1">
      <x:c r="A35" s="2"/>
      <x:c r="B35" s="2"/>
      <x:c r="C35" s="2"/>
      <x:c r="D35" s="3"/>
      <x:c r="E35" s="3"/>
      <x:c r="F35" s="3"/>
      <x:c r="G35" s="3"/>
      <x:c r="H35" s="3"/>
      <x:c r="I35" s="3"/>
      <x:c r="J35" s="2"/>
      <x:c r="K35" s="2"/>
      <x:c r="L35" s="2"/>
      <x:c r="M35" s="2"/>
      <x:c r="N35" s="2"/>
      <x:c r="O35" s="2"/>
      <x:c r="P35" s="2"/>
      <x:c r="Q35" s="2"/>
    </x:row>
    <x:row r="36" ht="22" customHeight="1">
      <x:c r="A36" s="2"/>
      <x:c r="B36" s="2"/>
      <x:c r="C36" s="2"/>
      <x:c r="D36" s="3"/>
      <x:c r="E36" s="3"/>
      <x:c r="F36" s="3"/>
      <x:c r="G36" s="3"/>
      <x:c r="H36" s="3"/>
      <x:c r="I36" s="3"/>
      <x:c r="J36" s="2"/>
      <x:c r="K36" s="2"/>
      <x:c r="L36" s="2"/>
      <x:c r="M36" s="2"/>
      <x:c r="N36" s="2"/>
      <x:c r="O36" s="2"/>
      <x:c r="P36" s="2"/>
      <x:c r="Q36" s="2"/>
    </x:row>
    <x:row r="37" ht="22" customHeight="1">
      <x:c r="A37" s="2"/>
      <x:c r="B37" s="2"/>
      <x:c r="C37" s="2"/>
      <x:c r="D37" s="3"/>
      <x:c r="E37" s="3"/>
      <x:c r="F37" s="3"/>
      <x:c r="G37" s="3"/>
      <x:c r="H37" s="3"/>
      <x:c r="I37" s="3"/>
      <x:c r="J37" s="2"/>
      <x:c r="K37" s="2"/>
      <x:c r="L37" s="2"/>
      <x:c r="M37" s="2"/>
      <x:c r="N37" s="2"/>
      <x:c r="O37" s="2"/>
      <x:c r="P37" s="2"/>
      <x:c r="Q37" s="2"/>
    </x:row>
    <x:row r="38" ht="22" customHeight="1">
      <x:c r="A38" s="2"/>
      <x:c r="B38" s="2"/>
      <x:c r="C38" s="2"/>
      <x:c r="D38" s="3"/>
      <x:c r="E38" s="3"/>
      <x:c r="F38" s="3"/>
      <x:c r="G38" s="3"/>
      <x:c r="H38" s="3"/>
      <x:c r="I38" s="3"/>
      <x:c r="J38" s="2"/>
      <x:c r="K38" s="2"/>
      <x:c r="L38" s="2"/>
      <x:c r="M38" s="2"/>
      <x:c r="N38" s="2"/>
      <x:c r="O38" s="2"/>
      <x:c r="P38" s="2"/>
      <x:c r="Q38" s="2"/>
    </x:row>
    <x:row r="39" ht="22" customHeight="1">
      <x:c r="A39" s="2"/>
      <x:c r="B39" s="2"/>
      <x:c r="C39" s="2"/>
      <x:c r="D39" s="3"/>
      <x:c r="E39" s="3"/>
      <x:c r="F39" s="3"/>
      <x:c r="G39" s="3"/>
      <x:c r="H39" s="3"/>
      <x:c r="I39" s="3"/>
      <x:c r="J39" s="2"/>
      <x:c r="K39" s="2"/>
      <x:c r="L39" s="2"/>
      <x:c r="M39" s="2"/>
      <x:c r="N39" s="2"/>
      <x:c r="O39" s="2"/>
      <x:c r="P39" s="2"/>
      <x:c r="Q39" s="2"/>
    </x:row>
    <x:row r="40" ht="22" customHeight="1">
      <x:c r="A40" s="2"/>
      <x:c r="B40" s="2"/>
      <x:c r="C40" s="2"/>
      <x:c r="D40" s="3"/>
      <x:c r="E40" s="3"/>
      <x:c r="F40" s="3"/>
      <x:c r="G40" s="3"/>
      <x:c r="H40" s="3"/>
      <x:c r="I40" s="3"/>
      <x:c r="J40" s="2"/>
      <x:c r="K40" s="2"/>
      <x:c r="L40" s="2"/>
      <x:c r="M40" s="2"/>
      <x:c r="N40" s="2"/>
      <x:c r="O40" s="2"/>
      <x:c r="P40" s="2"/>
      <x:c r="Q40" s="2"/>
    </x:row>
    <x:row r="41" ht="22" customHeight="1">
      <x:c r="A41" s="2"/>
      <x:c r="B41" s="2"/>
      <x:c r="C41" s="2"/>
      <x:c r="D41" s="3"/>
      <x:c r="E41" s="3"/>
      <x:c r="F41" s="3"/>
      <x:c r="G41" s="3"/>
      <x:c r="H41" s="3"/>
      <x:c r="I41" s="3"/>
      <x:c r="J41" s="2"/>
      <x:c r="K41" s="2"/>
      <x:c r="L41" s="2"/>
      <x:c r="M41" s="2"/>
      <x:c r="N41" s="2"/>
      <x:c r="O41" s="2"/>
      <x:c r="P41" s="2"/>
      <x:c r="Q41" s="2"/>
    </x:row>
    <x:row r="42" ht="22" customHeight="1">
      <x:c r="A42" s="2"/>
      <x:c r="B42" s="2"/>
      <x:c r="C42" s="2"/>
      <x:c r="D42" s="3"/>
      <x:c r="E42" s="3"/>
      <x:c r="F42" s="3"/>
      <x:c r="G42" s="3"/>
      <x:c r="H42" s="3"/>
      <x:c r="I42" s="3"/>
      <x:c r="J42" s="2"/>
      <x:c r="K42" s="2"/>
      <x:c r="L42" s="2"/>
      <x:c r="M42" s="2"/>
      <x:c r="N42" s="2"/>
      <x:c r="O42" s="2"/>
      <x:c r="P42" s="2"/>
      <x:c r="Q42" s="2"/>
    </x:row>
    <x:row r="43" ht="22" customHeight="1">
      <x:c r="A43" s="2"/>
      <x:c r="B43" s="2"/>
      <x:c r="C43" s="2"/>
      <x:c r="D43" s="3"/>
      <x:c r="E43" s="3"/>
      <x:c r="F43" s="3"/>
      <x:c r="G43" s="3"/>
      <x:c r="H43" s="3"/>
      <x:c r="I43" s="3"/>
      <x:c r="J43" s="2"/>
      <x:c r="K43" s="2"/>
      <x:c r="L43" s="2"/>
      <x:c r="M43" s="2"/>
      <x:c r="N43" s="2"/>
      <x:c r="O43" s="2"/>
      <x:c r="P43" s="2"/>
      <x:c r="Q43" s="2"/>
    </x:row>
    <x:row r="44" ht="22" customHeight="1">
      <x:c r="A44" s="2"/>
      <x:c r="B44" s="2"/>
      <x:c r="C44" s="2"/>
      <x:c r="D44" s="3"/>
      <x:c r="E44" s="3"/>
      <x:c r="F44" s="3"/>
      <x:c r="G44" s="3"/>
      <x:c r="H44" s="3"/>
      <x:c r="I44" s="3"/>
      <x:c r="J44" s="2"/>
      <x:c r="K44" s="2"/>
      <x:c r="L44" s="2"/>
      <x:c r="M44" s="2"/>
      <x:c r="N44" s="2"/>
      <x:c r="O44" s="2"/>
      <x:c r="P44" s="2"/>
      <x:c r="Q44" s="2"/>
    </x:row>
    <x:row r="45" ht="22" customHeight="1">
      <x:c r="A45" s="2"/>
      <x:c r="B45" s="2"/>
      <x:c r="C45" s="2"/>
      <x:c r="D45" s="3"/>
      <x:c r="E45" s="3"/>
      <x:c r="F45" s="3"/>
      <x:c r="G45" s="3"/>
      <x:c r="H45" s="3"/>
      <x:c r="I45" s="3"/>
      <x:c r="J45" s="2"/>
      <x:c r="K45" s="2"/>
      <x:c r="L45" s="2"/>
      <x:c r="M45" s="2"/>
      <x:c r="N45" s="2"/>
      <x:c r="O45" s="2"/>
      <x:c r="P45" s="2"/>
      <x:c r="Q45" s="2"/>
    </x:row>
    <x:row r="46" ht="22" customHeight="1">
      <x:c r="A46" s="2"/>
      <x:c r="B46" s="2"/>
      <x:c r="C46" s="2"/>
      <x:c r="D46" s="3"/>
      <x:c r="E46" s="3"/>
      <x:c r="F46" s="3"/>
      <x:c r="G46" s="3"/>
      <x:c r="H46" s="3"/>
      <x:c r="I46" s="3"/>
      <x:c r="J46" s="2"/>
      <x:c r="K46" s="2"/>
      <x:c r="L46" s="2"/>
      <x:c r="M46" s="2"/>
      <x:c r="N46" s="2"/>
      <x:c r="O46" s="2"/>
      <x:c r="P46" s="2"/>
      <x:c r="Q46" s="2"/>
    </x:row>
    <x:row r="47" ht="22" customHeight="1">
      <x:c r="A47" s="2"/>
      <x:c r="B47" s="2"/>
      <x:c r="C47" s="2"/>
      <x:c r="D47" s="3"/>
      <x:c r="E47" s="3"/>
      <x:c r="F47" s="3"/>
      <x:c r="G47" s="3"/>
      <x:c r="H47" s="3"/>
      <x:c r="I47" s="3"/>
      <x:c r="J47" s="2"/>
      <x:c r="K47" s="2"/>
      <x:c r="L47" s="2"/>
      <x:c r="M47" s="2"/>
      <x:c r="N47" s="2"/>
      <x:c r="O47" s="2"/>
      <x:c r="P47" s="2"/>
      <x:c r="Q47" s="2"/>
    </x:row>
    <x:row r="48" ht="22" customHeight="1">
      <x:c r="A48" s="2"/>
      <x:c r="B48" s="2"/>
      <x:c r="C48" s="2"/>
      <x:c r="D48" s="3"/>
      <x:c r="E48" s="3"/>
      <x:c r="F48" s="3"/>
      <x:c r="G48" s="3"/>
      <x:c r="H48" s="3"/>
      <x:c r="I48" s="3"/>
      <x:c r="J48" s="2"/>
      <x:c r="K48" s="2"/>
      <x:c r="L48" s="2"/>
      <x:c r="M48" s="2"/>
      <x:c r="N48" s="2"/>
      <x:c r="O48" s="2"/>
      <x:c r="P48" s="2"/>
      <x:c r="Q48" s="2"/>
    </x:row>
    <x:row r="49" ht="22" customHeight="1">
      <x:c r="A49" s="2"/>
      <x:c r="B49" s="2"/>
      <x:c r="C49" s="2"/>
      <x:c r="D49" s="3"/>
      <x:c r="E49" s="3"/>
      <x:c r="F49" s="3"/>
      <x:c r="G49" s="3"/>
      <x:c r="H49" s="3"/>
      <x:c r="I49" s="3"/>
      <x:c r="J49" s="2"/>
      <x:c r="K49" s="2"/>
      <x:c r="L49" s="2"/>
      <x:c r="M49" s="2"/>
      <x:c r="N49" s="2"/>
      <x:c r="O49" s="2"/>
      <x:c r="P49" s="2"/>
      <x:c r="Q49" s="2"/>
    </x:row>
    <x:row r="50" ht="22" customHeight="1">
      <x:c r="A50" s="2"/>
      <x:c r="B50" s="2"/>
      <x:c r="C50" s="2"/>
      <x:c r="D50" s="3"/>
      <x:c r="E50" s="3"/>
      <x:c r="F50" s="3"/>
      <x:c r="G50" s="3"/>
      <x:c r="H50" s="3"/>
      <x:c r="I50" s="3"/>
      <x:c r="J50" s="2"/>
      <x:c r="K50" s="2"/>
      <x:c r="L50" s="2"/>
      <x:c r="M50" s="2"/>
      <x:c r="N50" s="2"/>
      <x:c r="O50" s="2"/>
      <x:c r="P50" s="2"/>
      <x:c r="Q50" s="2"/>
    </x:row>
    <x:row r="51" ht="22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2"/>
      <x:c r="K51" s="2"/>
      <x:c r="L51" s="2"/>
      <x:c r="M51" s="2"/>
      <x:c r="N51" s="2"/>
      <x:c r="O51" s="2"/>
      <x:c r="P51" s="2"/>
      <x:c r="Q51" s="2"/>
    </x:row>
    <x:row r="52" ht="22" customHeight="1">
      <x:c r="A52" s="2"/>
      <x:c r="B52" s="2"/>
      <x:c r="C52" s="2"/>
      <x:c r="D52" s="3"/>
      <x:c r="E52" s="3"/>
      <x:c r="F52" s="3"/>
      <x:c r="G52" s="3"/>
      <x:c r="H52" s="3"/>
      <x:c r="I52" s="3"/>
      <x:c r="J52" s="2"/>
      <x:c r="K52" s="2"/>
      <x:c r="L52" s="2"/>
      <x:c r="M52" s="2"/>
      <x:c r="N52" s="2"/>
      <x:c r="O52" s="2"/>
      <x:c r="P52" s="2"/>
      <x:c r="Q52" s="2"/>
    </x:row>
    <x:row r="53" ht="22" customHeight="1">
      <x:c r="A53" s="2"/>
      <x:c r="B53" s="2"/>
      <x:c r="C53" s="2"/>
      <x:c r="D53" s="3"/>
      <x:c r="E53" s="3"/>
      <x:c r="F53" s="3"/>
      <x:c r="G53" s="3"/>
      <x:c r="H53" s="3"/>
      <x:c r="I53" s="3"/>
      <x:c r="J53" s="2"/>
      <x:c r="K53" s="2"/>
      <x:c r="L53" s="2"/>
      <x:c r="M53" s="2"/>
      <x:c r="N53" s="2"/>
      <x:c r="O53" s="2"/>
      <x:c r="P53" s="2"/>
      <x:c r="Q53" s="2"/>
    </x:row>
    <x:row r="54" ht="22" customHeight="1">
      <x:c r="A54" s="2"/>
      <x:c r="B54" s="2"/>
      <x:c r="C54" s="2"/>
      <x:c r="D54" s="3"/>
      <x:c r="E54" s="3"/>
      <x:c r="F54" s="3"/>
      <x:c r="G54" s="3"/>
      <x:c r="H54" s="3"/>
      <x:c r="I54" s="3"/>
      <x:c r="J54" s="2"/>
      <x:c r="K54" s="2"/>
      <x:c r="L54" s="2"/>
      <x:c r="M54" s="2"/>
      <x:c r="N54" s="2"/>
      <x:c r="O54" s="2"/>
      <x:c r="P54" s="2"/>
      <x:c r="Q54" s="2"/>
    </x:row>
    <x:row r="55" ht="22" customHeight="1">
      <x:c r="A55" s="2"/>
      <x:c r="B55" s="2"/>
      <x:c r="C55" s="2"/>
      <x:c r="D55" s="3"/>
      <x:c r="E55" s="3"/>
      <x:c r="F55" s="3"/>
      <x:c r="G55" s="3"/>
      <x:c r="H55" s="3"/>
      <x:c r="I55" s="3"/>
      <x:c r="J55" s="2"/>
      <x:c r="K55" s="2"/>
      <x:c r="L55" s="2"/>
      <x:c r="M55" s="2"/>
      <x:c r="N55" s="2"/>
      <x:c r="O55" s="2"/>
      <x:c r="P55" s="2"/>
      <x:c r="Q55" s="2"/>
    </x:row>
    <x:row r="56" ht="22" customHeight="1">
      <x:c r="A56" s="2"/>
      <x:c r="B56" s="2"/>
      <x:c r="C56" s="2"/>
      <x:c r="D56" s="3"/>
      <x:c r="E56" s="3"/>
      <x:c r="F56" s="3"/>
      <x:c r="G56" s="3"/>
      <x:c r="H56" s="3"/>
      <x:c r="I56" s="3"/>
      <x:c r="J56" s="2"/>
      <x:c r="K56" s="2"/>
      <x:c r="L56" s="2"/>
      <x:c r="M56" s="2"/>
      <x:c r="N56" s="2"/>
      <x:c r="O56" s="2"/>
      <x:c r="P56" s="2"/>
      <x:c r="Q56" s="2"/>
    </x:row>
    <x:row r="57" ht="22" customHeight="1">
      <x:c r="A57" s="2"/>
      <x:c r="B57" s="2"/>
      <x:c r="C57" s="2"/>
      <x:c r="D57" s="3"/>
      <x:c r="E57" s="3"/>
      <x:c r="F57" s="3"/>
      <x:c r="G57" s="3"/>
      <x:c r="H57" s="3"/>
      <x:c r="I57" s="3"/>
      <x:c r="J57" s="2"/>
      <x:c r="K57" s="2"/>
      <x:c r="L57" s="2"/>
      <x:c r="M57" s="2"/>
      <x:c r="N57" s="2"/>
      <x:c r="O57" s="2"/>
      <x:c r="P57" s="2"/>
      <x:c r="Q57" s="2"/>
    </x:row>
    <x:row r="58" ht="22" customHeight="1">
      <x:c r="A58" s="2"/>
      <x:c r="B58" s="2"/>
      <x:c r="C58" s="2"/>
      <x:c r="D58" s="3"/>
      <x:c r="E58" s="3"/>
      <x:c r="F58" s="3"/>
      <x:c r="G58" s="3"/>
      <x:c r="H58" s="3"/>
      <x:c r="I58" s="3"/>
      <x:c r="J58" s="2"/>
      <x:c r="K58" s="2"/>
      <x:c r="L58" s="2"/>
      <x:c r="M58" s="2"/>
      <x:c r="N58" s="2"/>
      <x:c r="O58" s="2"/>
      <x:c r="P58" s="2"/>
      <x:c r="Q58" s="2"/>
    </x:row>
    <x:row r="59" ht="22" customHeight="1">
      <x:c r="A59" s="2"/>
      <x:c r="B59" s="2"/>
      <x:c r="C59" s="2"/>
      <x:c r="D59" s="3"/>
      <x:c r="E59" s="3"/>
      <x:c r="F59" s="3"/>
      <x:c r="G59" s="3"/>
      <x:c r="H59" s="3"/>
      <x:c r="I59" s="3"/>
      <x:c r="J59" s="2"/>
      <x:c r="K59" s="2"/>
      <x:c r="L59" s="2"/>
      <x:c r="M59" s="2"/>
      <x:c r="N59" s="2"/>
      <x:c r="O59" s="2"/>
      <x:c r="P59" s="2"/>
      <x:c r="Q59" s="2"/>
    </x:row>
    <x:row r="60" ht="22" customHeight="1">
      <x:c r="A60" s="2"/>
      <x:c r="B60" s="2"/>
      <x:c r="C60" s="2"/>
      <x:c r="D60" s="3"/>
      <x:c r="E60" s="3"/>
      <x:c r="F60" s="3"/>
      <x:c r="G60" s="3"/>
      <x:c r="H60" s="3"/>
      <x:c r="I60" s="3"/>
      <x:c r="J60" s="2"/>
      <x:c r="K60" s="2"/>
      <x:c r="L60" s="2"/>
      <x:c r="M60" s="2"/>
      <x:c r="N60" s="2"/>
      <x:c r="O60" s="2"/>
      <x:c r="P60" s="2"/>
      <x:c r="Q60" s="2"/>
    </x:row>
    <x:row r="61" ht="22" customHeight="1">
      <x:c r="A61" s="2"/>
      <x:c r="B61" s="2"/>
      <x:c r="C61" s="2"/>
      <x:c r="D61" s="3"/>
      <x:c r="E61" s="3"/>
      <x:c r="F61" s="3"/>
      <x:c r="G61" s="3"/>
      <x:c r="H61" s="3"/>
      <x:c r="I61" s="3"/>
      <x:c r="J61" s="2"/>
      <x:c r="K61" s="2"/>
      <x:c r="L61" s="2"/>
      <x:c r="M61" s="2"/>
      <x:c r="N61" s="2"/>
      <x:c r="O61" s="2"/>
      <x:c r="P61" s="2"/>
      <x:c r="Q61" s="2"/>
    </x:row>
    <x:row r="62" ht="22" customHeight="1">
      <x:c r="A62" s="2"/>
      <x:c r="B62" s="2"/>
      <x:c r="C62" s="2"/>
      <x:c r="D62" s="3"/>
      <x:c r="E62" s="3"/>
      <x:c r="F62" s="3"/>
      <x:c r="G62" s="3"/>
      <x:c r="H62" s="3"/>
      <x:c r="I62" s="3"/>
      <x:c r="J62" s="2"/>
      <x:c r="K62" s="2"/>
      <x:c r="L62" s="2"/>
      <x:c r="M62" s="2"/>
      <x:c r="N62" s="2"/>
      <x:c r="O62" s="2"/>
      <x:c r="P62" s="2"/>
      <x:c r="Q62" s="2"/>
    </x:row>
    <x:row r="63" ht="22" customHeight="1">
      <x:c r="A63" s="2"/>
      <x:c r="B63" s="2"/>
      <x:c r="C63" s="2"/>
      <x:c r="D63" s="3"/>
      <x:c r="E63" s="3"/>
      <x:c r="F63" s="3"/>
      <x:c r="G63" s="3"/>
      <x:c r="H63" s="3"/>
      <x:c r="I63" s="3"/>
      <x:c r="J63" s="2"/>
      <x:c r="K63" s="2"/>
      <x:c r="L63" s="2"/>
      <x:c r="M63" s="2"/>
      <x:c r="N63" s="2"/>
      <x:c r="O63" s="2"/>
      <x:c r="P63" s="2"/>
      <x:c r="Q63" s="2"/>
    </x:row>
    <x:row r="64" ht="22" customHeight="1">
      <x:c r="A64" s="2"/>
      <x:c r="B64" s="2"/>
      <x:c r="C64" s="2"/>
      <x:c r="D64" s="3"/>
      <x:c r="E64" s="3"/>
      <x:c r="F64" s="3"/>
      <x:c r="G64" s="3"/>
      <x:c r="H64" s="3"/>
      <x:c r="I64" s="3"/>
      <x:c r="J64" s="2"/>
      <x:c r="K64" s="2"/>
      <x:c r="L64" s="2"/>
      <x:c r="M64" s="2"/>
      <x:c r="N64" s="2"/>
      <x:c r="O64" s="2"/>
      <x:c r="P64" s="2"/>
      <x:c r="Q64" s="2"/>
    </x:row>
    <x:row r="65" ht="22" customHeight="1">
      <x:c r="A65" s="2"/>
      <x:c r="B65" s="2"/>
      <x:c r="C65" s="2"/>
      <x:c r="D65" s="3"/>
      <x:c r="E65" s="3"/>
      <x:c r="F65" s="3"/>
      <x:c r="G65" s="3"/>
      <x:c r="H65" s="3"/>
      <x:c r="I65" s="3"/>
      <x:c r="J65" s="2"/>
      <x:c r="K65" s="2"/>
      <x:c r="L65" s="2"/>
      <x:c r="M65" s="2"/>
      <x:c r="N65" s="2"/>
      <x:c r="O65" s="2"/>
      <x:c r="P65" s="2"/>
      <x:c r="Q65" s="2"/>
    </x:row>
    <x:row r="66" ht="22" customHeight="1">
      <x:c r="A66" s="2"/>
      <x:c r="B66" s="2"/>
      <x:c r="C66" s="2"/>
      <x:c r="D66" s="3"/>
      <x:c r="E66" s="3"/>
      <x:c r="F66" s="3"/>
      <x:c r="G66" s="3"/>
      <x:c r="H66" s="3"/>
      <x:c r="I66" s="3"/>
      <x:c r="J66" s="2"/>
      <x:c r="K66" s="2"/>
      <x:c r="L66" s="2"/>
      <x:c r="M66" s="2"/>
      <x:c r="N66" s="2"/>
      <x:c r="O66" s="2"/>
      <x:c r="P66" s="2"/>
      <x:c r="Q66" s="2"/>
    </x:row>
    <x:row r="67" ht="22" customHeight="1">
      <x:c r="A67" s="2"/>
      <x:c r="B67" s="2"/>
      <x:c r="C67" s="2"/>
      <x:c r="D67" s="3"/>
      <x:c r="E67" s="3"/>
      <x:c r="F67" s="3"/>
      <x:c r="G67" s="3"/>
      <x:c r="H67" s="3"/>
      <x:c r="I67" s="3"/>
      <x:c r="J67" s="2"/>
      <x:c r="K67" s="2"/>
      <x:c r="L67" s="2"/>
      <x:c r="M67" s="2"/>
      <x:c r="N67" s="2"/>
      <x:c r="O67" s="2"/>
      <x:c r="P67" s="2"/>
      <x:c r="Q67" s="2"/>
    </x:row>
    <x:row r="68" ht="22" customHeight="1">
      <x:c r="A68" s="2"/>
      <x:c r="B68" s="2"/>
      <x:c r="C68" s="2"/>
      <x:c r="D68" s="3"/>
      <x:c r="E68" s="3"/>
      <x:c r="F68" s="3"/>
      <x:c r="G68" s="3"/>
      <x:c r="H68" s="3"/>
      <x:c r="I68" s="3"/>
      <x:c r="J68" s="2"/>
      <x:c r="K68" s="2"/>
      <x:c r="L68" s="2"/>
      <x:c r="M68" s="2"/>
      <x:c r="N68" s="2"/>
      <x:c r="O68" s="2"/>
      <x:c r="P68" s="2"/>
      <x:c r="Q68" s="2"/>
    </x:row>
    <x:row r="69" ht="22" customHeight="1">
      <x:c r="A69" s="2"/>
      <x:c r="B69" s="2"/>
      <x:c r="C69" s="2"/>
      <x:c r="D69" s="3"/>
      <x:c r="E69" s="3"/>
      <x:c r="F69" s="3"/>
      <x:c r="G69" s="3"/>
      <x:c r="H69" s="3"/>
      <x:c r="I69" s="3"/>
      <x:c r="J69" s="2"/>
      <x:c r="K69" s="2"/>
      <x:c r="L69" s="2"/>
      <x:c r="M69" s="2"/>
      <x:c r="N69" s="2"/>
      <x:c r="O69" s="2"/>
      <x:c r="P69" s="2"/>
      <x:c r="Q69" s="2"/>
    </x:row>
    <x:row r="70" ht="22" customHeight="1">
      <x:c r="A70" s="2"/>
      <x:c r="B70" s="2"/>
      <x:c r="C70" s="2"/>
      <x:c r="D70" s="3"/>
      <x:c r="E70" s="3"/>
      <x:c r="F70" s="3"/>
      <x:c r="G70" s="3"/>
      <x:c r="H70" s="3"/>
      <x:c r="I70" s="3"/>
      <x:c r="J70" s="2"/>
      <x:c r="K70" s="2"/>
      <x:c r="L70" s="2"/>
      <x:c r="M70" s="2"/>
      <x:c r="N70" s="2"/>
      <x:c r="O70" s="2"/>
      <x:c r="P70" s="2"/>
      <x:c r="Q70" s="2"/>
    </x:row>
    <x:row r="71" ht="22" customHeight="1">
      <x:c r="A71" s="2"/>
      <x:c r="B71" s="2"/>
      <x:c r="C71" s="2"/>
      <x:c r="D71" s="3"/>
      <x:c r="E71" s="3"/>
      <x:c r="F71" s="3"/>
      <x:c r="G71" s="3"/>
      <x:c r="H71" s="3"/>
      <x:c r="I71" s="3"/>
      <x:c r="J71" s="2"/>
      <x:c r="K71" s="2"/>
      <x:c r="L71" s="2"/>
      <x:c r="M71" s="2"/>
      <x:c r="N71" s="2"/>
      <x:c r="O71" s="2"/>
      <x:c r="P71" s="2"/>
      <x:c r="Q71" s="2"/>
    </x:row>
    <x:row r="72" ht="22" customHeight="1">
      <x:c r="A72" s="2"/>
      <x:c r="B72" s="2"/>
      <x:c r="C72" s="2"/>
      <x:c r="D72" s="3"/>
      <x:c r="E72" s="3"/>
      <x:c r="F72" s="3"/>
      <x:c r="G72" s="3"/>
      <x:c r="H72" s="3"/>
      <x:c r="I72" s="3"/>
      <x:c r="J72" s="2"/>
      <x:c r="K72" s="2"/>
      <x:c r="L72" s="2"/>
      <x:c r="M72" s="2"/>
      <x:c r="N72" s="2"/>
      <x:c r="O72" s="2"/>
      <x:c r="P72" s="2"/>
      <x:c r="Q72" s="2"/>
    </x:row>
    <x:row r="73" ht="22" customHeight="1">
      <x:c r="A73" s="2"/>
      <x:c r="B73" s="2"/>
      <x:c r="C73" s="2"/>
      <x:c r="D73" s="3"/>
      <x:c r="E73" s="3"/>
      <x:c r="F73" s="3"/>
      <x:c r="G73" s="3"/>
      <x:c r="H73" s="3"/>
      <x:c r="I73" s="3"/>
      <x:c r="J73" s="2"/>
      <x:c r="K73" s="2"/>
      <x:c r="L73" s="2"/>
      <x:c r="M73" s="2"/>
      <x:c r="N73" s="2"/>
      <x:c r="O73" s="2"/>
      <x:c r="P73" s="2"/>
      <x:c r="Q73" s="2"/>
    </x:row>
    <x:row r="74" ht="22" customHeight="1">
      <x:c r="A74" s="2"/>
      <x:c r="B74" s="2"/>
      <x:c r="C74" s="2"/>
      <x:c r="D74" s="3"/>
      <x:c r="E74" s="3"/>
      <x:c r="F74" s="3"/>
      <x:c r="G74" s="3"/>
      <x:c r="H74" s="3"/>
      <x:c r="I74" s="3"/>
      <x:c r="J74" s="2"/>
      <x:c r="K74" s="2"/>
      <x:c r="L74" s="2"/>
      <x:c r="M74" s="2"/>
      <x:c r="N74" s="2"/>
      <x:c r="O74" s="2"/>
      <x:c r="P74" s="2"/>
      <x:c r="Q74" s="2"/>
    </x:row>
    <x:row r="75" ht="22" customHeight="1">
      <x:c r="A75" s="2"/>
      <x:c r="B75" s="2"/>
      <x:c r="C75" s="2"/>
      <x:c r="D75" s="3"/>
      <x:c r="E75" s="3"/>
      <x:c r="F75" s="3"/>
      <x:c r="G75" s="3"/>
      <x:c r="H75" s="3"/>
      <x:c r="I75" s="3"/>
      <x:c r="J75" s="2"/>
      <x:c r="K75" s="2"/>
      <x:c r="L75" s="2"/>
      <x:c r="M75" s="2"/>
      <x:c r="N75" s="2"/>
      <x:c r="O75" s="2"/>
      <x:c r="P75" s="2"/>
      <x:c r="Q75" s="2"/>
    </x:row>
    <x:row r="76" ht="22" customHeight="1">
      <x:c r="A76" s="2"/>
      <x:c r="B76" s="2"/>
      <x:c r="C76" s="2"/>
      <x:c r="D76" s="3"/>
      <x:c r="E76" s="3"/>
      <x:c r="F76" s="3"/>
      <x:c r="G76" s="3"/>
      <x:c r="H76" s="3"/>
      <x:c r="I76" s="3"/>
      <x:c r="J76" s="2"/>
      <x:c r="K76" s="2"/>
      <x:c r="L76" s="2"/>
      <x:c r="M76" s="2"/>
      <x:c r="N76" s="2"/>
      <x:c r="O76" s="2"/>
      <x:c r="P76" s="2"/>
      <x:c r="Q76" s="2"/>
    </x:row>
    <x:row r="77" ht="22" customHeight="1">
      <x:c r="A77" s="2"/>
      <x:c r="B77" s="2"/>
      <x:c r="C77" s="2"/>
      <x:c r="D77" s="3"/>
      <x:c r="E77" s="3"/>
      <x:c r="F77" s="3"/>
      <x:c r="G77" s="3"/>
      <x:c r="H77" s="3"/>
      <x:c r="I77" s="3"/>
      <x:c r="J77" s="2"/>
      <x:c r="K77" s="2"/>
      <x:c r="L77" s="2"/>
      <x:c r="M77" s="2"/>
      <x:c r="N77" s="2"/>
      <x:c r="O77" s="2"/>
      <x:c r="P77" s="2"/>
      <x:c r="Q77" s="2"/>
    </x:row>
    <x:row r="78" ht="22" customHeight="1">
      <x:c r="A78" s="2"/>
      <x:c r="B78" s="2"/>
      <x:c r="C78" s="2"/>
      <x:c r="D78" s="3"/>
      <x:c r="E78" s="3"/>
      <x:c r="F78" s="3"/>
      <x:c r="G78" s="3"/>
      <x:c r="H78" s="3"/>
      <x:c r="I78" s="3"/>
      <x:c r="J78" s="2"/>
      <x:c r="K78" s="2"/>
      <x:c r="L78" s="2"/>
      <x:c r="M78" s="2"/>
      <x:c r="N78" s="2"/>
      <x:c r="O78" s="2"/>
      <x:c r="P78" s="2"/>
      <x:c r="Q78" s="2"/>
    </x:row>
    <x:row r="79" ht="22" customHeight="1">
      <x:c r="A79" s="2"/>
      <x:c r="B79" s="2"/>
      <x:c r="C79" s="2"/>
      <x:c r="D79" s="3"/>
      <x:c r="E79" s="3"/>
      <x:c r="F79" s="3"/>
      <x:c r="G79" s="3"/>
      <x:c r="H79" s="3"/>
      <x:c r="I79" s="3"/>
      <x:c r="J79" s="2"/>
      <x:c r="K79" s="2"/>
      <x:c r="L79" s="2"/>
      <x:c r="M79" s="2"/>
      <x:c r="N79" s="2"/>
      <x:c r="O79" s="2"/>
      <x:c r="P79" s="2"/>
      <x:c r="Q79" s="2"/>
    </x:row>
    <x:row r="80" ht="22" customHeight="1">
      <x:c r="A80" s="2"/>
      <x:c r="B80" s="2"/>
      <x:c r="C80" s="2"/>
      <x:c r="D80" s="3"/>
      <x:c r="E80" s="3"/>
      <x:c r="F80" s="3"/>
      <x:c r="G80" s="3"/>
      <x:c r="H80" s="3"/>
      <x:c r="I80" s="3"/>
      <x:c r="J80" s="2"/>
      <x:c r="K80" s="2"/>
      <x:c r="L80" s="2"/>
      <x:c r="M80" s="2"/>
      <x:c r="N80" s="2"/>
      <x:c r="O80" s="2"/>
      <x:c r="P80" s="2"/>
      <x:c r="Q80" s="2"/>
    </x:row>
    <x:row r="81" ht="22" customHeight="1">
      <x:c r="A81" s="2"/>
      <x:c r="B81" s="2"/>
      <x:c r="C81" s="2"/>
      <x:c r="D81" s="3"/>
      <x:c r="E81" s="3"/>
      <x:c r="F81" s="3"/>
      <x:c r="G81" s="3"/>
      <x:c r="H81" s="3"/>
      <x:c r="I81" s="3"/>
      <x:c r="J81" s="2"/>
      <x:c r="K81" s="2"/>
      <x:c r="L81" s="2"/>
      <x:c r="M81" s="2"/>
      <x:c r="N81" s="2"/>
      <x:c r="O81" s="2"/>
      <x:c r="P81" s="2"/>
      <x:c r="Q81" s="2"/>
    </x:row>
    <x:row r="82" ht="22" customHeight="1">
      <x:c r="A82" s="2"/>
      <x:c r="B82" s="2"/>
      <x:c r="C82" s="2"/>
      <x:c r="D82" s="3"/>
      <x:c r="E82" s="3"/>
      <x:c r="F82" s="3"/>
      <x:c r="G82" s="3"/>
      <x:c r="H82" s="3"/>
      <x:c r="I82" s="3"/>
      <x:c r="J82" s="2"/>
      <x:c r="K82" s="2"/>
      <x:c r="L82" s="2"/>
      <x:c r="M82" s="2"/>
      <x:c r="N82" s="2"/>
      <x:c r="O82" s="2"/>
      <x:c r="P82" s="2"/>
      <x:c r="Q82" s="2"/>
    </x:row>
    <x:row r="83" ht="22" customHeight="1">
      <x:c r="A83" s="2"/>
      <x:c r="B83" s="2"/>
      <x:c r="C83" s="2"/>
      <x:c r="D83" s="3"/>
      <x:c r="E83" s="3"/>
      <x:c r="F83" s="3"/>
      <x:c r="G83" s="3"/>
      <x:c r="H83" s="3"/>
      <x:c r="I83" s="3"/>
      <x:c r="J83" s="2"/>
      <x:c r="K83" s="2"/>
      <x:c r="L83" s="2"/>
      <x:c r="M83" s="2"/>
      <x:c r="N83" s="2"/>
      <x:c r="O83" s="2"/>
      <x:c r="P83" s="2"/>
      <x:c r="Q83" s="2"/>
    </x:row>
    <x:row r="84" ht="22" customHeight="1">
      <x:c r="A84" s="2"/>
      <x:c r="B84" s="2"/>
      <x:c r="C84" s="2"/>
      <x:c r="D84" s="3"/>
      <x:c r="E84" s="3"/>
      <x:c r="F84" s="3"/>
      <x:c r="G84" s="3"/>
      <x:c r="H84" s="3"/>
      <x:c r="I84" s="3"/>
      <x:c r="J84" s="2"/>
      <x:c r="K84" s="2"/>
      <x:c r="L84" s="2"/>
      <x:c r="M84" s="2"/>
      <x:c r="N84" s="2"/>
      <x:c r="O84" s="2"/>
      <x:c r="P84" s="2"/>
      <x:c r="Q84" s="2"/>
    </x:row>
    <x:row r="85" ht="22" customHeight="1">
      <x:c r="A85" s="2"/>
      <x:c r="B85" s="2"/>
      <x:c r="C85" s="2"/>
      <x:c r="D85" s="3"/>
      <x:c r="E85" s="3"/>
      <x:c r="F85" s="3"/>
      <x:c r="G85" s="3"/>
      <x:c r="H85" s="3"/>
      <x:c r="I85" s="3"/>
      <x:c r="J85" s="2"/>
      <x:c r="K85" s="2"/>
      <x:c r="L85" s="2"/>
      <x:c r="M85" s="2"/>
      <x:c r="N85" s="2"/>
      <x:c r="O85" s="2"/>
      <x:c r="P85" s="2"/>
      <x:c r="Q85" s="2"/>
    </x:row>
    <x:row r="86" ht="22" customHeight="1">
      <x:c r="A86" s="2"/>
      <x:c r="B86" s="2"/>
      <x:c r="C86" s="2"/>
      <x:c r="D86" s="3"/>
      <x:c r="E86" s="3"/>
      <x:c r="F86" s="3"/>
      <x:c r="G86" s="3"/>
      <x:c r="H86" s="3"/>
      <x:c r="I86" s="3"/>
      <x:c r="J86" s="2"/>
      <x:c r="K86" s="2"/>
      <x:c r="L86" s="2"/>
      <x:c r="M86" s="2"/>
      <x:c r="N86" s="2"/>
      <x:c r="O86" s="2"/>
      <x:c r="P86" s="2"/>
      <x:c r="Q86" s="2"/>
    </x:row>
    <x:row r="87" ht="22" customHeight="1">
      <x:c r="A87" s="2"/>
      <x:c r="B87" s="2"/>
      <x:c r="C87" s="2"/>
      <x:c r="D87" s="3"/>
      <x:c r="E87" s="3"/>
      <x:c r="F87" s="3"/>
      <x:c r="G87" s="3"/>
      <x:c r="H87" s="3"/>
      <x:c r="I87" s="3"/>
      <x:c r="J87" s="2"/>
      <x:c r="K87" s="2"/>
      <x:c r="L87" s="2"/>
      <x:c r="M87" s="2"/>
      <x:c r="N87" s="2"/>
      <x:c r="O87" s="2"/>
      <x:c r="P87" s="2"/>
      <x:c r="Q87" s="2"/>
    </x:row>
    <x:row r="88" ht="22" customHeight="1">
      <x:c r="A88" s="2"/>
      <x:c r="B88" s="2"/>
      <x:c r="C88" s="2"/>
      <x:c r="D88" s="3"/>
      <x:c r="E88" s="3"/>
      <x:c r="F88" s="3"/>
      <x:c r="G88" s="3"/>
      <x:c r="H88" s="3"/>
      <x:c r="I88" s="3"/>
      <x:c r="J88" s="2"/>
      <x:c r="K88" s="2"/>
      <x:c r="L88" s="2"/>
      <x:c r="M88" s="2"/>
      <x:c r="N88" s="2"/>
      <x:c r="O88" s="2"/>
      <x:c r="P88" s="2"/>
      <x:c r="Q88" s="2"/>
    </x:row>
    <x:row r="89" ht="22" customHeight="1">
      <x:c r="A89" s="2"/>
      <x:c r="B89" s="2"/>
      <x:c r="C89" s="2"/>
      <x:c r="D89" s="3"/>
      <x:c r="E89" s="3"/>
      <x:c r="F89" s="3"/>
      <x:c r="G89" s="3"/>
      <x:c r="H89" s="3"/>
      <x:c r="I89" s="3"/>
      <x:c r="J89" s="2"/>
      <x:c r="K89" s="2"/>
      <x:c r="L89" s="2"/>
      <x:c r="M89" s="2"/>
      <x:c r="N89" s="2"/>
      <x:c r="O89" s="2"/>
      <x:c r="P89" s="2"/>
      <x:c r="Q89" s="2"/>
    </x:row>
    <x:row r="90" ht="22" customHeight="1">
      <x:c r="A90" s="2"/>
      <x:c r="B90" s="2"/>
      <x:c r="C90" s="2"/>
      <x:c r="D90" s="3"/>
      <x:c r="E90" s="3"/>
      <x:c r="F90" s="3"/>
      <x:c r="G90" s="3"/>
      <x:c r="H90" s="3"/>
      <x:c r="I90" s="3"/>
      <x:c r="J90" s="2"/>
      <x:c r="K90" s="2"/>
      <x:c r="L90" s="2"/>
      <x:c r="M90" s="2"/>
      <x:c r="N90" s="2"/>
      <x:c r="O90" s="2"/>
      <x:c r="P90" s="2"/>
      <x:c r="Q90" s="2"/>
    </x:row>
    <x:row r="91" ht="22" customHeight="1">
      <x:c r="A91" s="2"/>
      <x:c r="B91" s="2"/>
      <x:c r="C91" s="2"/>
      <x:c r="D91" s="3"/>
      <x:c r="E91" s="3"/>
      <x:c r="F91" s="3"/>
      <x:c r="G91" s="3"/>
      <x:c r="H91" s="3"/>
      <x:c r="I91" s="3"/>
      <x:c r="J91" s="2"/>
      <x:c r="K91" s="2"/>
      <x:c r="L91" s="2"/>
      <x:c r="M91" s="2"/>
      <x:c r="N91" s="2"/>
      <x:c r="O91" s="2"/>
      <x:c r="P91" s="2"/>
      <x:c r="Q91" s="2"/>
    </x:row>
    <x:row r="92" ht="22" customHeight="1">
      <x:c r="A92" s="2"/>
      <x:c r="B92" s="2"/>
      <x:c r="C92" s="2"/>
      <x:c r="D92" s="3"/>
      <x:c r="E92" s="3"/>
      <x:c r="F92" s="3"/>
      <x:c r="G92" s="3"/>
      <x:c r="H92" s="3"/>
      <x:c r="I92" s="3"/>
      <x:c r="J92" s="2"/>
      <x:c r="K92" s="2"/>
      <x:c r="L92" s="2"/>
      <x:c r="M92" s="2"/>
      <x:c r="N92" s="2"/>
      <x:c r="O92" s="2"/>
      <x:c r="P92" s="2"/>
      <x:c r="Q92" s="2"/>
    </x:row>
    <x:row r="93" ht="22" customHeight="1">
      <x:c r="A93" s="2"/>
      <x:c r="B93" s="2"/>
      <x:c r="C93" s="2"/>
      <x:c r="D93" s="3"/>
      <x:c r="E93" s="3"/>
      <x:c r="F93" s="3"/>
      <x:c r="G93" s="3"/>
      <x:c r="H93" s="3"/>
      <x:c r="I93" s="3"/>
      <x:c r="J93" s="2"/>
      <x:c r="K93" s="2"/>
      <x:c r="L93" s="2"/>
      <x:c r="M93" s="2"/>
      <x:c r="N93" s="2"/>
      <x:c r="O93" s="2"/>
      <x:c r="P93" s="2"/>
      <x:c r="Q93" s="2"/>
    </x:row>
    <x:row r="94" ht="22" customHeight="1">
      <x:c r="A94" s="2"/>
      <x:c r="B94" s="2"/>
      <x:c r="C94" s="2"/>
      <x:c r="D94" s="3"/>
      <x:c r="E94" s="3"/>
      <x:c r="F94" s="3"/>
      <x:c r="G94" s="3"/>
      <x:c r="H94" s="3"/>
      <x:c r="I94" s="3"/>
      <x:c r="J94" s="2"/>
      <x:c r="K94" s="2"/>
      <x:c r="L94" s="2"/>
      <x:c r="M94" s="2"/>
      <x:c r="N94" s="2"/>
      <x:c r="O94" s="2"/>
      <x:c r="P94" s="2"/>
      <x:c r="Q94" s="2"/>
    </x:row>
    <x:row r="95" ht="22" customHeight="1">
      <x:c r="A95" s="2"/>
      <x:c r="B95" s="2"/>
      <x:c r="C95" s="2"/>
      <x:c r="D95" s="3"/>
      <x:c r="E95" s="3"/>
      <x:c r="F95" s="3"/>
      <x:c r="G95" s="3"/>
      <x:c r="H95" s="3"/>
      <x:c r="I95" s="3"/>
      <x:c r="J95" s="2"/>
      <x:c r="K95" s="2"/>
      <x:c r="L95" s="2"/>
      <x:c r="M95" s="2"/>
      <x:c r="N95" s="2"/>
      <x:c r="O95" s="2"/>
      <x:c r="P95" s="2"/>
      <x:c r="Q95" s="2"/>
    </x:row>
    <x:row r="96" ht="22" customHeight="1">
      <x:c r="A96" s="2"/>
      <x:c r="B96" s="2"/>
      <x:c r="C96" s="2"/>
      <x:c r="D96" s="3"/>
      <x:c r="E96" s="3"/>
      <x:c r="F96" s="3"/>
      <x:c r="G96" s="3"/>
      <x:c r="H96" s="3"/>
      <x:c r="I96" s="3"/>
      <x:c r="J96" s="2"/>
      <x:c r="K96" s="2"/>
      <x:c r="L96" s="2"/>
      <x:c r="M96" s="2"/>
      <x:c r="N96" s="2"/>
      <x:c r="O96" s="2"/>
      <x:c r="P96" s="2"/>
      <x:c r="Q96" s="2"/>
    </x:row>
    <x:row r="97" ht="22" customHeight="1">
      <x:c r="A97" s="2"/>
      <x:c r="B97" s="2"/>
      <x:c r="C97" s="2"/>
      <x:c r="D97" s="3"/>
      <x:c r="E97" s="3"/>
      <x:c r="F97" s="3"/>
      <x:c r="G97" s="3"/>
      <x:c r="H97" s="3"/>
      <x:c r="I97" s="3"/>
      <x:c r="J97" s="2"/>
      <x:c r="K97" s="2"/>
      <x:c r="L97" s="2"/>
      <x:c r="M97" s="2"/>
      <x:c r="N97" s="2"/>
      <x:c r="O97" s="2"/>
      <x:c r="P97" s="2"/>
      <x:c r="Q97" s="2"/>
    </x:row>
    <x:row r="98" ht="22" customHeight="1">
      <x:c r="A98" s="2"/>
      <x:c r="B98" s="2"/>
      <x:c r="C98" s="2"/>
      <x:c r="D98" s="3"/>
      <x:c r="E98" s="3"/>
      <x:c r="F98" s="3"/>
      <x:c r="G98" s="3"/>
      <x:c r="H98" s="3"/>
      <x:c r="I98" s="3"/>
      <x:c r="J98" s="2"/>
      <x:c r="K98" s="2"/>
      <x:c r="L98" s="2"/>
      <x:c r="M98" s="2"/>
      <x:c r="N98" s="2"/>
      <x:c r="O98" s="2"/>
      <x:c r="P98" s="2"/>
      <x:c r="Q98" s="2"/>
    </x:row>
    <x:row r="99" ht="22" customHeight="1">
      <x:c r="A99" s="2"/>
      <x:c r="B99" s="2"/>
      <x:c r="C99" s="2"/>
      <x:c r="D99" s="3"/>
      <x:c r="E99" s="3"/>
      <x:c r="F99" s="3"/>
      <x:c r="G99" s="3"/>
      <x:c r="H99" s="3"/>
      <x:c r="I99" s="3"/>
      <x:c r="J99" s="2"/>
      <x:c r="K99" s="2"/>
      <x:c r="L99" s="2"/>
      <x:c r="M99" s="2"/>
      <x:c r="N99" s="2"/>
      <x:c r="O99" s="2"/>
      <x:c r="P99" s="2"/>
      <x:c r="Q99" s="2"/>
    </x:row>
    <x:row r="100" ht="22" customHeight="1">
      <x:c r="A100" s="2"/>
      <x:c r="B100" s="2"/>
      <x:c r="C100" s="2"/>
      <x:c r="D100" s="3"/>
      <x:c r="E100" s="3"/>
      <x:c r="F100" s="3"/>
      <x:c r="G100" s="3"/>
      <x:c r="H100" s="3"/>
      <x:c r="I100" s="3"/>
      <x:c r="J100" s="2"/>
      <x:c r="K100" s="2"/>
      <x:c r="L100" s="2"/>
      <x:c r="M100" s="2"/>
      <x:c r="N100" s="2"/>
      <x:c r="O100" s="2"/>
      <x:c r="P100" s="2"/>
      <x:c r="Q100" s="2"/>
    </x:row>
    <x:row r="101" ht="22" customHeight="1">
      <x:c r="A101" s="2"/>
      <x:c r="B101" s="2"/>
      <x:c r="C101" s="2"/>
      <x:c r="D101" s="3"/>
      <x:c r="E101" s="3"/>
      <x:c r="F101" s="3"/>
      <x:c r="G101" s="3"/>
      <x:c r="H101" s="3"/>
      <x:c r="I101" s="3"/>
      <x:c r="J101" s="2"/>
      <x:c r="K101" s="2"/>
      <x:c r="L101" s="2"/>
      <x:c r="M101" s="2"/>
      <x:c r="N101" s="2"/>
      <x:c r="O101" s="2"/>
      <x:c r="P101" s="2"/>
      <x:c r="Q101" s="2"/>
    </x:row>
    <x:row r="102" ht="22" customHeight="1">
      <x:c r="A102" s="2"/>
      <x:c r="B102" s="2"/>
      <x:c r="C102" s="2"/>
      <x:c r="D102" s="3"/>
      <x:c r="E102" s="3"/>
      <x:c r="F102" s="3"/>
      <x:c r="G102" s="3"/>
      <x:c r="H102" s="3"/>
      <x:c r="I102" s="3"/>
      <x:c r="J102" s="2"/>
      <x:c r="K102" s="2"/>
      <x:c r="L102" s="2"/>
      <x:c r="M102" s="2"/>
      <x:c r="N102" s="2"/>
      <x:c r="O102" s="2"/>
      <x:c r="P102" s="2"/>
      <x:c r="Q102" s="2"/>
    </x:row>
    <x:row r="103" ht="22" customHeight="1">
      <x:c r="A103" s="2"/>
      <x:c r="B103" s="2"/>
      <x:c r="C103" s="2"/>
      <x:c r="D103" s="3"/>
      <x:c r="E103" s="3"/>
      <x:c r="F103" s="3"/>
      <x:c r="G103" s="3"/>
      <x:c r="H103" s="3"/>
      <x:c r="I103" s="3"/>
      <x:c r="J103" s="2"/>
      <x:c r="K103" s="2"/>
      <x:c r="L103" s="2"/>
      <x:c r="M103" s="2"/>
      <x:c r="N103" s="2"/>
      <x:c r="O103" s="2"/>
      <x:c r="P103" s="2"/>
      <x:c r="Q103" s="2"/>
    </x:row>
    <x:row r="104" ht="22" customHeight="1">
      <x:c r="A104" s="2"/>
      <x:c r="B104" s="2"/>
      <x:c r="C104" s="2"/>
      <x:c r="D104" s="3"/>
      <x:c r="E104" s="3"/>
      <x:c r="F104" s="3"/>
      <x:c r="G104" s="3"/>
      <x:c r="H104" s="3"/>
      <x:c r="I104" s="3"/>
      <x:c r="J104" s="2"/>
      <x:c r="K104" s="2"/>
      <x:c r="L104" s="2"/>
      <x:c r="M104" s="2"/>
      <x:c r="N104" s="2"/>
      <x:c r="O104" s="2"/>
      <x:c r="P104" s="2"/>
      <x:c r="Q104" s="2"/>
    </x:row>
    <x:row r="105" ht="22" customHeight="1">
      <x:c r="A105" s="2"/>
      <x:c r="B105" s="2"/>
      <x:c r="C105" s="2"/>
      <x:c r="D105" s="3"/>
      <x:c r="E105" s="3"/>
      <x:c r="F105" s="3"/>
      <x:c r="G105" s="3"/>
      <x:c r="H105" s="3"/>
      <x:c r="I105" s="3"/>
      <x:c r="J105" s="2"/>
      <x:c r="K105" s="2"/>
      <x:c r="L105" s="2"/>
      <x:c r="M105" s="2"/>
      <x:c r="N105" s="2"/>
      <x:c r="O105" s="2"/>
      <x:c r="P105" s="2"/>
      <x:c r="Q105" s="2"/>
    </x:row>
    <x:row r="106" ht="22" customHeight="1">
      <x:c r="A106" s="2"/>
      <x:c r="B106" s="2"/>
      <x:c r="C106" s="2"/>
      <x:c r="D106" s="3"/>
      <x:c r="E106" s="3"/>
      <x:c r="F106" s="3"/>
      <x:c r="G106" s="3"/>
      <x:c r="H106" s="3"/>
      <x:c r="I106" s="3"/>
      <x:c r="J106" s="2"/>
      <x:c r="K106" s="2"/>
      <x:c r="L106" s="2"/>
      <x:c r="M106" s="2"/>
      <x:c r="N106" s="2"/>
      <x:c r="O106" s="2"/>
      <x:c r="P106" s="2"/>
      <x:c r="Q106" s="2"/>
    </x:row>
    <x:row r="107" ht="22" customHeight="1">
      <x:c r="A107" s="2"/>
      <x:c r="B107" s="2"/>
      <x:c r="C107" s="2"/>
      <x:c r="D107" s="3"/>
      <x:c r="E107" s="3"/>
      <x:c r="F107" s="3"/>
      <x:c r="G107" s="3"/>
      <x:c r="H107" s="3"/>
      <x:c r="I107" s="3"/>
      <x:c r="J107" s="2"/>
      <x:c r="K107" s="2"/>
      <x:c r="L107" s="2"/>
      <x:c r="M107" s="2"/>
      <x:c r="N107" s="2"/>
      <x:c r="O107" s="2"/>
      <x:c r="P107" s="2"/>
      <x:c r="Q107" s="2"/>
    </x:row>
    <x:row r="108" ht="22" customHeight="1">
      <x:c r="A108" s="2"/>
      <x:c r="B108" s="2"/>
      <x:c r="C108" s="2"/>
      <x:c r="D108" s="3"/>
      <x:c r="E108" s="3"/>
      <x:c r="F108" s="3"/>
      <x:c r="G108" s="3"/>
      <x:c r="H108" s="3"/>
      <x:c r="I108" s="3"/>
      <x:c r="J108" s="2"/>
      <x:c r="K108" s="2"/>
      <x:c r="L108" s="2"/>
      <x:c r="M108" s="2"/>
      <x:c r="N108" s="2"/>
      <x:c r="O108" s="2"/>
      <x:c r="P108" s="2"/>
      <x:c r="Q108" s="2"/>
    </x:row>
    <x:row r="109" ht="22" customHeight="1">
      <x:c r="A109" s="2"/>
      <x:c r="B109" s="2"/>
      <x:c r="C109" s="2"/>
      <x:c r="D109" s="3"/>
      <x:c r="E109" s="3"/>
      <x:c r="F109" s="3"/>
      <x:c r="G109" s="3"/>
      <x:c r="H109" s="3"/>
      <x:c r="I109" s="3"/>
      <x:c r="J109" s="2"/>
      <x:c r="K109" s="2"/>
      <x:c r="L109" s="2"/>
      <x:c r="M109" s="2"/>
      <x:c r="N109" s="2"/>
      <x:c r="O109" s="2"/>
      <x:c r="P109" s="2"/>
      <x:c r="Q109" s="2"/>
    </x:row>
    <x:row r="110" ht="22" customHeight="1">
      <x:c r="A110" s="2"/>
      <x:c r="B110" s="2"/>
      <x:c r="C110" s="2"/>
      <x:c r="D110" s="3"/>
      <x:c r="E110" s="3"/>
      <x:c r="F110" s="3"/>
      <x:c r="G110" s="3"/>
      <x:c r="H110" s="3"/>
      <x:c r="I110" s="3"/>
      <x:c r="J110" s="2"/>
      <x:c r="K110" s="2"/>
      <x:c r="L110" s="2"/>
      <x:c r="M110" s="2"/>
      <x:c r="N110" s="2"/>
      <x:c r="O110" s="2"/>
      <x:c r="P110" s="2"/>
      <x:c r="Q110" s="2"/>
    </x:row>
    <x:row r="111" ht="22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 ht="22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 ht="22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 ht="22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 ht="22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 ht="22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 ht="22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 ht="22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 ht="22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 ht="22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3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2" customHeight="1">
      <x:c r="A2" s="2"/>
      <x:c r="B2" s="2"/>
      <x:c r="C2" s="4" t="str">
        <x:v>Statements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</x:row>
    <x:row r="3" ht="22" customHeight="1">
      <x:c r="A3" s="2"/>
      <x:c r="B3" s="2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</x:row>
    <x:row r="4" ht="22" customHeight="1">
      <x:c r="A4" s="2"/>
      <x:c r="B4" s="2"/>
      <x:c r="C4" s="2" t="str">
        <x:v>USD millions | FY2025 historical; 2026–2030 forecast</x:v>
      </x:c>
      <x:c r="D4" s="2"/>
      <x:c r="E4" s="2"/>
      <x:c r="F4" s="2"/>
      <x:c r="G4" s="2"/>
      <x:c r="H4" s="2"/>
      <x:c r="I4" s="2"/>
      <x:c r="J4" s="2"/>
      <x:c r="K4" s="2" t="str">
        <x:v>Case Selected:</x:v>
      </x:c>
      <x:c r="L4" s="8" t="str">
        <x:f>CHOOSE(Assumptions!$D$5,"Base","Upside","Downside")</x:f>
        <x:v>Base</x:v>
      </x:c>
      <x:c r="M4" s="2"/>
      <x:c r="N4" s="2"/>
      <x:c r="O4" s="2"/>
      <x:c r="P4" s="2"/>
      <x:c r="Q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2" customHeight="1">
      <x:c r="A6" s="2"/>
      <x:c r="B6" s="2"/>
      <x:c r="C6" s="13"/>
      <x:c r="D6" s="46" t="n">
        <x:v>2026</x:v>
      </x:c>
      <x:c r="E6" s="46" t="n">
        <x:v>2027</x:v>
      </x:c>
      <x:c r="F6" s="46" t="n">
        <x:v>2028</x:v>
      </x:c>
      <x:c r="G6" s="46" t="n">
        <x:v>2029</x:v>
      </x:c>
      <x:c r="H6" s="46" t="n">
        <x:v>2030</x:v>
      </x:c>
      <x:c r="I6" s="14"/>
      <x:c r="J6" s="2"/>
      <x:c r="K6" s="2"/>
      <x:c r="L6" s="2"/>
      <x:c r="M6" s="2"/>
      <x:c r="N6" s="2"/>
      <x:c r="O6" s="2"/>
      <x:c r="P6" s="2"/>
      <x:c r="Q6" s="2"/>
    </x:row>
    <x:row r="7" ht="22" customHeight="1">
      <x:c r="A7" s="2"/>
      <x:c r="B7" s="2"/>
      <x:c r="C7" s="2" t="str">
        <x:v>Net income</x:v>
      </x:c>
      <x:c r="D7" s="26" t="n">
        <x:f>Operating!D22</x:f>
        <x:v>106.26244999999997</x:v>
      </x:c>
      <x:c r="E7" s="26" t="n">
        <x:f>Operating!E22</x:f>
        <x:v>134.82345678906248</x:v>
      </x:c>
      <x:c r="F7" s="26" t="n">
        <x:f>Operating!F22</x:f>
        <x:v>168.1901220424682</x:v>
      </x:c>
      <x:c r="G7" s="26" t="n">
        <x:f>Operating!G22</x:f>
        <x:v>196.459747297772</x:v>
      </x:c>
      <x:c r="H7" s="26" t="n">
        <x:f>Operating!H22</x:f>
        <x:v>218.0283690412926</x:v>
      </x:c>
      <x:c r="I7" s="3"/>
      <x:c r="J7" s="2"/>
      <x:c r="K7" s="2"/>
      <x:c r="L7" s="2"/>
      <x:c r="M7" s="2"/>
      <x:c r="N7" s="2"/>
      <x:c r="O7" s="2"/>
      <x:c r="P7" s="2"/>
      <x:c r="Q7" s="2"/>
    </x:row>
    <x:row r="8" ht="22" customHeight="1">
      <x:c r="A8" s="2"/>
      <x:c r="B8" s="2"/>
      <x:c r="C8" s="2" t="str">
        <x:v>Add back depreciation</x:v>
      </x:c>
      <x:c r="D8" s="26" t="n">
        <x:f>Operating!D17</x:f>
        <x:v>276.3051083333333</x:v>
      </x:c>
      <x:c r="E8" s="26" t="n">
        <x:f>Operating!E17</x:f>
        <x:v>294.04603704166664</x:v>
      </x:c>
      <x:c r="F8" s="26" t="n">
        <x:f>Operating!F17</x:f>
        <x:v>309.15145376197916</x:v>
      </x:c>
      <x:c r="G8" s="26" t="n">
        <x:f>Operating!G17</x:f>
        <x:v>322.78863061097394</x:v>
      </x:c>
      <x:c r="H8" s="26" t="n">
        <x:f>Operating!H17</x:f>
        <x:v>336.2904811309306</x:v>
      </x:c>
      <x:c r="I8" s="3"/>
      <x:c r="J8" s="2"/>
      <x:c r="K8" s="2"/>
      <x:c r="L8" s="2"/>
      <x:c r="M8" s="2"/>
      <x:c r="N8" s="2"/>
      <x:c r="O8" s="2"/>
      <x:c r="P8" s="2"/>
      <x:c r="Q8" s="2"/>
    </x:row>
    <x:row r="9" ht="22" customHeight="1">
      <x:c r="A9" s="2"/>
      <x:c r="B9" s="2"/>
      <x:c r="C9" s="2" t="str">
        <x:v>Less change in working capital</x:v>
      </x:c>
      <x:c r="D9" s="26" t="n">
        <x:f>-Operating!D25</x:f>
        <x:v>1.1744999999999948</x:v>
      </x:c>
      <x:c r="E9" s="26" t="n">
        <x:f>-Operating!E25</x:f>
        <x:v>5.541907499999979</x:v>
      </x:c>
      <x:c r="F9" s="26" t="n">
        <x:f>-Operating!F25</x:f>
        <x:v>4.553904787499988</x:v>
      </x:c>
      <x:c r="G9" s="26" t="n">
        <x:f>-Operating!G25</x:f>
        <x:v>4.181757807187495</x:v>
      </x:c>
      <x:c r="H9" s="26" t="n">
        <x:f>-Operating!H25</x:f>
        <x:v>4.286301752367194</x:v>
      </x:c>
      <x:c r="I9" s="3"/>
      <x:c r="J9" s="2"/>
      <x:c r="K9" s="2"/>
      <x:c r="L9" s="2"/>
      <x:c r="M9" s="2"/>
      <x:c r="N9" s="2"/>
      <x:c r="O9" s="2"/>
      <x:c r="P9" s="2"/>
      <x:c r="Q9" s="2"/>
    </x:row>
    <x:row r="10" ht="22" customHeight="1">
      <x:c r="A10" s="2"/>
      <x:c r="B10" s="2"/>
      <x:c r="C10" s="2" t="str">
        <x:v>Cash from operations</x:v>
      </x:c>
      <x:c r="D10" s="27" t="n">
        <x:f>SUM(D7:D9)</x:f>
        <x:v>383.74205833333326</x:v>
      </x:c>
      <x:c r="E10" s="27" t="n">
        <x:f>SUM(E7:E9)</x:f>
        <x:v>434.41140133072906</x:v>
      </x:c>
      <x:c r="F10" s="27" t="n">
        <x:f>SUM(F7:F9)</x:f>
        <x:v>481.8954805919474</x:v>
      </x:c>
      <x:c r="G10" s="27" t="n">
        <x:f>SUM(G7:G9)</x:f>
        <x:v>523.4301357159335</x:v>
      </x:c>
      <x:c r="H10" s="27" t="n">
        <x:f>SUM(H7:H9)</x:f>
        <x:v>558.6051519245904</x:v>
      </x:c>
      <x:c r="I10" s="3"/>
      <x:c r="J10" s="2"/>
      <x:c r="K10" s="2"/>
      <x:c r="L10" s="2"/>
      <x:c r="M10" s="2"/>
      <x:c r="N10" s="2"/>
      <x:c r="O10" s="2"/>
      <x:c r="P10" s="2"/>
      <x:c r="Q10" s="2"/>
    </x:row>
    <x:row r="11" ht="22" customHeight="1">
      <x:c r="A11" s="2"/>
      <x:c r="B11" s="2"/>
      <x:c r="C11" s="2" t="str">
        <x:v>Capital expenditures</x:v>
      </x:c>
      <x:c r="D11" s="26" t="n">
        <x:f>-Operating!D16</x:f>
        <x:v>-288.15324999999996</x:v>
      </x:c>
      <x:c r="E11" s="26" t="n">
        <x:f>-Operating!E16</x:f>
        <x:v>-244.07461124999995</x:v>
      </x:c>
      <x:c r="F11" s="26" t="n">
        <x:f>-Operating!F16</x:f>
        <x:v>-209.08789035937497</x:v>
      </x:c>
      <x:c r="G11" s="26" t="n">
        <x:f>-Operating!G16</x:f>
        <x:v>-200.02741511046872</x:v>
      </x:c>
      <x:c r="H11" s="26" t="n">
        <x:f>-Operating!H16</x:f>
        <x:v>-205.02810048823045</x:v>
      </x:c>
      <x:c r="I11" s="3"/>
      <x:c r="J11" s="2"/>
      <x:c r="K11" s="2"/>
      <x:c r="L11" s="2"/>
      <x:c r="M11" s="2"/>
      <x:c r="N11" s="2"/>
      <x:c r="O11" s="2"/>
      <x:c r="P11" s="2"/>
      <x:c r="Q11" s="2"/>
    </x:row>
    <x:row r="12" ht="22" customHeight="1">
      <x:c r="A12" s="2"/>
      <x:c r="B12" s="2"/>
      <x:c r="C12" s="2" t="str">
        <x:v>Debt repayments</x:v>
      </x:c>
      <x:c r="D12" s="26" t="n">
        <x:f>-(Debt!D13+Debt!D14+Debt!D18+Debt!D19)</x:f>
        <x:v>-78.54285624999997</x:v>
      </x:c>
      <x:c r="E12" s="26" t="n">
        <x:f>-(Debt!E13+Debt!E14+Debt!E18+Debt!E19)</x:f>
        <x:v>-162.38830662304687</x:v>
      </x:c>
      <x:c r="F12" s="26" t="n">
        <x:f>-(Debt!F13+Debt!F14+Debt!F18+Debt!F19)</x:f>
        <x:v>-245.20276933019105</x:v>
      </x:c>
      <x:c r="G12" s="26" t="n">
        <x:f>-(Debt!G13+Debt!G14+Debt!G18+Debt!G19)</x:f>
        <x:v>-303.85273278664636</x:v>
      </x:c>
      <x:c r="H12" s="26" t="n">
        <x:f>-(Debt!H13+Debt!H14+Debt!H18+Debt!H19)</x:f>
        <x:v>-341.14597177393136</x:v>
      </x:c>
      <x:c r="I12" s="3"/>
      <x:c r="J12" s="2"/>
      <x:c r="K12" s="2"/>
      <x:c r="L12" s="2"/>
      <x:c r="M12" s="2"/>
      <x:c r="N12" s="2"/>
      <x:c r="O12" s="2"/>
      <x:c r="P12" s="2"/>
      <x:c r="Q12" s="2"/>
    </x:row>
    <x:row r="13" ht="22" customHeight="1">
      <x:c r="A13" s="2"/>
      <x:c r="B13" s="2"/>
      <x:c r="C13" s="2" t="str">
        <x:v>Sponsor equity injections</x:v>
      </x:c>
      <x:c r="D13" s="26" t="n">
        <x:f>Debt!D16</x:f>
        <x:v>0</x:v>
      </x:c>
      <x:c r="E13" s="26" t="n">
        <x:f>Debt!E16</x:f>
        <x:v>0</x:v>
      </x:c>
      <x:c r="F13" s="26" t="n">
        <x:f>Debt!F16</x:f>
        <x:v>0</x:v>
      </x:c>
      <x:c r="G13" s="26" t="n">
        <x:f>Debt!G16</x:f>
        <x:v>0</x:v>
      </x:c>
      <x:c r="H13" s="26" t="n">
        <x:f>Debt!H16</x:f>
        <x:v>0</x:v>
      </x:c>
      <x:c r="I13" s="3"/>
      <x:c r="J13" s="2"/>
      <x:c r="K13" s="2"/>
      <x:c r="L13" s="2"/>
      <x:c r="M13" s="2"/>
      <x:c r="N13" s="2"/>
      <x:c r="O13" s="2"/>
      <x:c r="P13" s="2"/>
      <x:c r="Q13" s="2"/>
    </x:row>
    <x:row r="14" ht="22" customHeight="1">
      <x:c r="A14" s="2"/>
      <x:c r="B14" s="2"/>
      <x:c r="C14" s="2" t="str">
        <x:v>Cash from financing</x:v>
      </x:c>
      <x:c r="D14" s="27" t="n">
        <x:f>D12+D13</x:f>
        <x:v>-78.54285624999997</x:v>
      </x:c>
      <x:c r="E14" s="27" t="n">
        <x:f>E12+E13</x:f>
        <x:v>-162.38830662304687</x:v>
      </x:c>
      <x:c r="F14" s="27" t="n">
        <x:f>F12+F13</x:f>
        <x:v>-245.20276933019105</x:v>
      </x:c>
      <x:c r="G14" s="27" t="n">
        <x:f>G12+G13</x:f>
        <x:v>-303.85273278664636</x:v>
      </x:c>
      <x:c r="H14" s="27" t="n">
        <x:f>H12+H13</x:f>
        <x:v>-341.14597177393136</x:v>
      </x:c>
      <x:c r="I14" s="3"/>
      <x:c r="J14" s="2"/>
      <x:c r="K14" s="2"/>
      <x:c r="L14" s="2"/>
      <x:c r="M14" s="2"/>
      <x:c r="N14" s="2"/>
      <x:c r="O14" s="2"/>
      <x:c r="P14" s="2"/>
      <x:c r="Q14" s="2"/>
    </x:row>
    <x:row r="15" ht="22" customHeight="1">
      <x:c r="A15" s="2"/>
      <x:c r="B15" s="2"/>
      <x:c r="C15" s="2" t="str">
        <x:v>Net change in cash</x:v>
      </x:c>
      <x:c r="D15" s="27" t="n">
        <x:f>D10+D11+D14</x:f>
        <x:v>17.045952083333333</x:v>
      </x:c>
      <x:c r="E15" s="27" t="n">
        <x:f>E10+E11+E14</x:f>
        <x:v>27.948483457682244</x:v>
      </x:c>
      <x:c r="F15" s="27" t="n">
        <x:f>F10+F11+F14</x:f>
        <x:v>27.604820902381363</x:v>
      </x:c>
      <x:c r="G15" s="27" t="n">
        <x:f>G10+G11+G14</x:f>
        <x:v>19.54998781881841</x:v>
      </x:c>
      <x:c r="H15" s="27" t="n">
        <x:f>H10+H11+H14</x:f>
        <x:v>12.431079662428544</x:v>
      </x:c>
      <x:c r="I15" s="3"/>
      <x:c r="J15" s="2"/>
      <x:c r="K15" s="2"/>
      <x:c r="L15" s="2"/>
      <x:c r="M15" s="2"/>
      <x:c r="N15" s="2"/>
      <x:c r="O15" s="2"/>
      <x:c r="P15" s="2"/>
      <x:c r="Q15" s="2"/>
    </x:row>
    <x:row r="16" ht="22" customHeight="1">
      <x:c r="A16" s="2"/>
      <x:c r="B16" s="2"/>
      <x:c r="C16" s="2" t="str">
        <x:v>Beginning unrestricted cash</x:v>
      </x:c>
      <x:c r="D16" s="26" t="n">
        <x:f>Assumptions!$D$17</x:f>
        <x:v>100</x:v>
      </x:c>
      <x:c r="E16" s="27" t="n">
        <x:f>D17</x:f>
        <x:v>117.04595208333333</x:v>
      </x:c>
      <x:c r="F16" s="27" t="n">
        <x:f>E17</x:f>
        <x:v>144.99443554101558</x:v>
      </x:c>
      <x:c r="G16" s="27" t="n">
        <x:f>F17</x:f>
        <x:v>172.59925644339694</x:v>
      </x:c>
      <x:c r="H16" s="27" t="n">
        <x:f>G17</x:f>
        <x:v>192.14924426221535</x:v>
      </x:c>
      <x:c r="I16" s="3"/>
      <x:c r="J16" s="2"/>
      <x:c r="K16" s="2"/>
      <x:c r="L16" s="2"/>
      <x:c r="M16" s="2"/>
      <x:c r="N16" s="2"/>
      <x:c r="O16" s="2"/>
      <x:c r="P16" s="2"/>
      <x:c r="Q16" s="2"/>
    </x:row>
    <x:row r="17" ht="22" customHeight="1">
      <x:c r="A17" s="2"/>
      <x:c r="B17" s="2"/>
      <x:c r="C17" s="2" t="str">
        <x:v>Ending unrestricted cash</x:v>
      </x:c>
      <x:c r="D17" s="27" t="n">
        <x:f>D16+D15</x:f>
        <x:v>117.04595208333333</x:v>
      </x:c>
      <x:c r="E17" s="27" t="n">
        <x:f>E16+E15</x:f>
        <x:v>144.99443554101558</x:v>
      </x:c>
      <x:c r="F17" s="27" t="n">
        <x:f>F16+F15</x:f>
        <x:v>172.59925644339694</x:v>
      </x:c>
      <x:c r="G17" s="27" t="n">
        <x:f>G16+G15</x:f>
        <x:v>192.14924426221535</x:v>
      </x:c>
      <x:c r="H17" s="27" t="n">
        <x:f>H16+H15</x:f>
        <x:v>204.5803239246439</x:v>
      </x:c>
      <x:c r="I17" s="3"/>
      <x:c r="J17" s="2"/>
      <x:c r="K17" s="2"/>
      <x:c r="L17" s="2"/>
      <x:c r="M17" s="2"/>
      <x:c r="N17" s="2"/>
      <x:c r="O17" s="2"/>
      <x:c r="P17" s="2"/>
      <x:c r="Q17" s="2"/>
    </x:row>
    <x:row r="18" ht="22" customHeight="1">
      <x:c r="A18" s="2"/>
      <x:c r="B18" s="2"/>
      <x:c r="C18" s="2"/>
      <x:c r="D18" s="3"/>
      <x:c r="E18" s="3"/>
      <x:c r="F18" s="3"/>
      <x:c r="G18" s="3"/>
      <x:c r="H18" s="3"/>
      <x:c r="I18" s="3"/>
      <x:c r="J18" s="2"/>
      <x:c r="K18" s="2"/>
      <x:c r="L18" s="2"/>
      <x:c r="M18" s="2"/>
      <x:c r="N18" s="2"/>
      <x:c r="O18" s="2"/>
      <x:c r="P18" s="2"/>
      <x:c r="Q18" s="2"/>
    </x:row>
    <x:row r="19" ht="22" customHeight="1">
      <x:c r="A19" s="2"/>
      <x:c r="B19" s="2"/>
      <x:c r="C19" s="2"/>
      <x:c r="D19" s="3"/>
      <x:c r="E19" s="3"/>
      <x:c r="F19" s="3"/>
      <x:c r="G19" s="3"/>
      <x:c r="H19" s="3"/>
      <x:c r="I19" s="3"/>
      <x:c r="J19" s="2"/>
      <x:c r="K19" s="2"/>
      <x:c r="L19" s="2"/>
      <x:c r="M19" s="2"/>
      <x:c r="N19" s="2"/>
      <x:c r="O19" s="2"/>
      <x:c r="P19" s="2"/>
      <x:c r="Q19" s="2"/>
    </x:row>
    <x:row r="20" ht="22" customHeight="1">
      <x:c r="A20" s="2"/>
      <x:c r="B20" s="2"/>
      <x:c r="C20" s="2"/>
      <x:c r="D20" s="3"/>
      <x:c r="E20" s="3"/>
      <x:c r="F20" s="3"/>
      <x:c r="G20" s="3"/>
      <x:c r="H20" s="3"/>
      <x:c r="I20" s="3"/>
      <x:c r="J20" s="2"/>
      <x:c r="K20" s="2"/>
      <x:c r="L20" s="2"/>
      <x:c r="M20" s="2"/>
      <x:c r="N20" s="2"/>
      <x:c r="O20" s="2"/>
      <x:c r="P20" s="2"/>
      <x:c r="Q20" s="2"/>
    </x:row>
    <x:row r="21" ht="22" customHeight="1">
      <x:c r="A21" s="2"/>
      <x:c r="B21" s="2"/>
      <x:c r="C21" s="2" t="str">
        <x:v>Cash</x:v>
      </x:c>
      <x:c r="D21" s="27" t="n">
        <x:f>D17</x:f>
        <x:v>117.04595208333333</x:v>
      </x:c>
      <x:c r="E21" s="27" t="n">
        <x:f>E17</x:f>
        <x:v>144.99443554101558</x:v>
      </x:c>
      <x:c r="F21" s="27" t="n">
        <x:f>F17</x:f>
        <x:v>172.59925644339694</x:v>
      </x:c>
      <x:c r="G21" s="27" t="n">
        <x:f>G17</x:f>
        <x:v>192.14924426221535</x:v>
      </x:c>
      <x:c r="H21" s="27" t="n">
        <x:f>H17</x:f>
        <x:v>204.5803239246439</x:v>
      </x:c>
      <x:c r="I21" s="3"/>
      <x:c r="J21" s="2"/>
      <x:c r="K21" s="2"/>
      <x:c r="L21" s="2"/>
      <x:c r="M21" s="2"/>
      <x:c r="N21" s="2"/>
      <x:c r="O21" s="2"/>
      <x:c r="P21" s="2"/>
      <x:c r="Q21" s="2"/>
    </x:row>
    <x:row r="22" ht="22" customHeight="1">
      <x:c r="A22" s="2"/>
      <x:c r="B22" s="2"/>
      <x:c r="C22" s="2" t="str">
        <x:v>Property and equipment</x:v>
      </x:c>
      <x:c r="D22" s="26" t="n">
        <x:f>Transaction!$D$20+Operating!D16-Operating!D17</x:f>
        <x:v>6679.348141666667</x:v>
      </x:c>
      <x:c r="E22" s="26" t="n">
        <x:f>D22+Operating!E16-Operating!E17</x:f>
        <x:v>6629.376715875001</x:v>
      </x:c>
      <x:c r="F22" s="26" t="n">
        <x:f>E22+Operating!F16-Operating!F17</x:f>
        <x:v>6529.313152472396</x:v>
      </x:c>
      <x:c r="G22" s="26" t="n">
        <x:f>F22+Operating!G16-Operating!G17</x:f>
        <x:v>6406.55193697189</x:v>
      </x:c>
      <x:c r="H22" s="26" t="n">
        <x:f>G22+Operating!H16-Operating!H17</x:f>
        <x:v>6275.28955632919</x:v>
      </x:c>
      <x:c r="I22" s="3"/>
      <x:c r="J22" s="2"/>
      <x:c r="K22" s="2"/>
      <x:c r="L22" s="2"/>
      <x:c r="M22" s="2"/>
      <x:c r="N22" s="2"/>
      <x:c r="O22" s="2"/>
      <x:c r="P22" s="2"/>
      <x:c r="Q22" s="2"/>
    </x:row>
    <x:row r="23" ht="22" customHeight="1">
      <x:c r="A23" s="2"/>
      <x:c r="B23" s="2"/>
      <x:c r="C23" s="2" t="str">
        <x:v>Accounts receivable</x:v>
      </x:c>
      <x:c r="D23" s="26" t="n">
        <x:f>Operating!D11*Historical!$D$50/Historical!$F$11</x:f>
        <x:v>119.58705234159778</x:v>
      </x:c>
      <x:c r="E23" s="26" t="n">
        <x:f>Operating!E11*Historical!$D$50/Historical!$F$11</x:f>
        <x:v>123.80364207005115</x:v>
      </x:c>
      <x:c r="F23" s="26" t="n">
        <x:f>Operating!F11*Historical!$D$50/Historical!$F$11</x:f>
        <x:v>127.26850469205037</x:v>
      </x:c>
      <x:c r="G23" s="26" t="n">
        <x:f>Operating!G11*Historical!$D$50/Historical!$F$11</x:f>
        <x:v>130.45021730935161</x:v>
      </x:c>
      <x:c r="H23" s="26" t="n">
        <x:f>Operating!H11*Historical!$D$50/Historical!$F$11</x:f>
        <x:v>133.71147274208542</x:v>
      </x:c>
      <x:c r="I23" s="3"/>
      <x:c r="J23" s="2"/>
      <x:c r="K23" s="2"/>
      <x:c r="L23" s="2"/>
      <x:c r="M23" s="2"/>
      <x:c r="N23" s="2"/>
      <x:c r="O23" s="2"/>
      <x:c r="P23" s="2"/>
      <x:c r="Q23" s="2"/>
    </x:row>
    <x:row r="24" ht="22" customHeight="1">
      <x:c r="A24" s="2"/>
      <x:c r="B24" s="2"/>
      <x:c r="C24" s="2" t="str">
        <x:v>Prepaid expenses</x:v>
      </x:c>
      <x:c r="D24" s="26" t="n">
        <x:f>Operating!D11*Historical!$D$51/Historical!$F$11</x:f>
        <x:v>61.85537190082645</x:v>
      </x:c>
      <x:c r="E24" s="26" t="n">
        <x:f>Operating!E11*Historical!$D$51/Historical!$F$11</x:f>
        <x:v>64.03636658795749</x:v>
      </x:c>
      <x:c r="F24" s="26" t="n">
        <x:f>Operating!F11*Historical!$D$51/Historical!$F$11</x:f>
        <x:v>65.82853690968122</x:v>
      </x:c>
      <x:c r="G24" s="26" t="n">
        <x:f>Operating!G11*Historical!$D$51/Historical!$F$11</x:f>
        <x:v>67.47425033242324</x:v>
      </x:c>
      <x:c r="H24" s="26" t="n">
        <x:f>Operating!H11*Historical!$D$51/Historical!$F$11</x:f>
        <x:v>69.16110659073382</x:v>
      </x:c>
      <x:c r="I24" s="3"/>
      <x:c r="J24" s="2"/>
      <x:c r="K24" s="2"/>
      <x:c r="L24" s="2"/>
      <x:c r="M24" s="2"/>
      <x:c r="N24" s="2"/>
      <x:c r="O24" s="2"/>
      <x:c r="P24" s="2"/>
      <x:c r="Q24" s="2"/>
    </x:row>
    <x:row r="25" ht="22" customHeight="1">
      <x:c r="A25" s="2"/>
      <x:c r="B25" s="2"/>
      <x:c r="C25" s="2" t="str">
        <x:v>Other assets held constant</x:v>
      </x:c>
      <x:c r="D25" s="26" t="n">
        <x:f>Historical!$D$46+Historical!$D$47+Historical!$D$49+Historical!$D$52+Historical!$D$53</x:f>
        <x:v>337</x:v>
      </x:c>
      <x:c r="E25" s="26" t="n">
        <x:f>Historical!$D$46+Historical!$D$47+Historical!$D$49+Historical!$D$52+Historical!$D$53</x:f>
        <x:v>337</x:v>
      </x:c>
      <x:c r="F25" s="26" t="n">
        <x:f>Historical!$D$46+Historical!$D$47+Historical!$D$49+Historical!$D$52+Historical!$D$53</x:f>
        <x:v>337</x:v>
      </x:c>
      <x:c r="G25" s="26" t="n">
        <x:f>Historical!$D$46+Historical!$D$47+Historical!$D$49+Historical!$D$52+Historical!$D$53</x:f>
        <x:v>337</x:v>
      </x:c>
      <x:c r="H25" s="26" t="n">
        <x:f>Historical!$D$46+Historical!$D$47+Historical!$D$49+Historical!$D$52+Historical!$D$53</x:f>
        <x:v>337</x:v>
      </x:c>
      <x:c r="I25" s="3"/>
      <x:c r="J25" s="2"/>
      <x:c r="K25" s="2"/>
      <x:c r="L25" s="2"/>
      <x:c r="M25" s="2"/>
      <x:c r="N25" s="2"/>
      <x:c r="O25" s="2"/>
      <x:c r="P25" s="2"/>
      <x:c r="Q25" s="2"/>
    </x:row>
    <x:row r="26" ht="22" customHeight="1">
      <x:c r="A26" s="2"/>
      <x:c r="B26" s="2"/>
      <x:c r="C26" s="2" t="str">
        <x:v>Total assets</x:v>
      </x:c>
      <x:c r="D26" s="27" t="n">
        <x:f>SUM(D21:D25)</x:f>
        <x:v>7314.836517992426</x:v>
      </x:c>
      <x:c r="E26" s="27" t="n">
        <x:f>SUM(E21:E25)</x:f>
        <x:v>7299.2111600740245</x:v>
      </x:c>
      <x:c r="F26" s="27" t="n">
        <x:f>SUM(F21:F25)</x:f>
        <x:v>7232.009450517525</x:v>
      </x:c>
      <x:c r="G26" s="27" t="n">
        <x:f>SUM(G21:G25)</x:f>
        <x:v>7133.625648875881</x:v>
      </x:c>
      <x:c r="H26" s="27" t="n">
        <x:f>SUM(H21:H25)</x:f>
        <x:v>7019.742459586654</x:v>
      </x:c>
      <x:c r="I26" s="3"/>
      <x:c r="J26" s="2"/>
      <x:c r="K26" s="2"/>
      <x:c r="L26" s="2"/>
      <x:c r="M26" s="2"/>
      <x:c r="N26" s="2"/>
      <x:c r="O26" s="2"/>
      <x:c r="P26" s="2"/>
      <x:c r="Q26" s="2"/>
    </x:row>
    <x:row r="27" ht="22" customHeight="1">
      <x:c r="A27" s="2"/>
      <x:c r="B27" s="2"/>
      <x:c r="C27" s="2"/>
      <x:c r="D27" s="3"/>
      <x:c r="E27" s="3"/>
      <x:c r="F27" s="3"/>
      <x:c r="G27" s="3"/>
      <x:c r="H27" s="3"/>
      <x:c r="I27" s="3"/>
      <x:c r="J27" s="2"/>
      <x:c r="K27" s="2"/>
      <x:c r="L27" s="2"/>
      <x:c r="M27" s="2"/>
      <x:c r="N27" s="2"/>
      <x:c r="O27" s="2"/>
      <x:c r="P27" s="2"/>
      <x:c r="Q27" s="2"/>
    </x:row>
    <x:row r="28" ht="22" customHeight="1">
      <x:c r="A28" s="2"/>
      <x:c r="B28" s="2"/>
      <x:c r="C28" s="2" t="str">
        <x:v>Debt</x:v>
      </x:c>
      <x:c r="D28" s="26" t="n">
        <x:f>Debt!D22</x:f>
        <x:v>2661.95714375</x:v>
      </x:c>
      <x:c r="E28" s="26" t="n">
        <x:f>Debt!E22</x:f>
        <x:v>2499.568837126953</x:v>
      </x:c>
      <x:c r="F28" s="26" t="n">
        <x:f>Debt!F22</x:f>
        <x:v>2254.366067796762</x:v>
      </x:c>
      <x:c r="G28" s="26" t="n">
        <x:f>Debt!G22</x:f>
        <x:v>1950.5133350101153</x:v>
      </x:c>
      <x:c r="H28" s="26" t="n">
        <x:f>Debt!H22</x:f>
        <x:v>1609.3673632361838</x:v>
      </x:c>
      <x:c r="I28" s="3"/>
      <x:c r="J28" s="2"/>
      <x:c r="K28" s="2"/>
      <x:c r="L28" s="2"/>
      <x:c r="M28" s="2"/>
      <x:c r="N28" s="2"/>
      <x:c r="O28" s="2"/>
      <x:c r="P28" s="2"/>
      <x:c r="Q28" s="2"/>
    </x:row>
    <x:row r="29" ht="22" customHeight="1">
      <x:c r="A29" s="2"/>
      <x:c r="B29" s="2"/>
      <x:c r="C29" s="2" t="str">
        <x:v>Operating payables</x:v>
      </x:c>
      <x:c r="D29" s="26" t="n">
        <x:f>D23+D24-Operating!D24</x:f>
        <x:v>338.61692424242426</x:v>
      </x:c>
      <x:c r="E29" s="26" t="n">
        <x:f>E23+E24-Operating!E24</x:f>
        <x:v>350.5564161580086</x:v>
      </x:c>
      <x:c r="F29" s="26" t="n">
        <x:f>F23+F24-Operating!F24</x:f>
        <x:v>360.36735388923154</x:v>
      </x:c>
      <x:c r="G29" s="26" t="n">
        <x:f>G23+G24-Operating!G24</x:f>
        <x:v>369.3765377364623</x:v>
      </x:c>
      <x:c r="H29" s="26" t="n">
        <x:f>H23+H24-Operating!H24</x:f>
        <x:v>378.6109511798739</x:v>
      </x:c>
      <x:c r="I29" s="3"/>
      <x:c r="J29" s="2"/>
      <x:c r="K29" s="2"/>
      <x:c r="L29" s="2"/>
      <x:c r="M29" s="2"/>
      <x:c r="N29" s="2"/>
      <x:c r="O29" s="2"/>
      <x:c r="P29" s="2"/>
      <x:c r="Q29" s="2"/>
    </x:row>
    <x:row r="30" ht="22" customHeight="1">
      <x:c r="A30" s="2"/>
      <x:c r="B30" s="2"/>
      <x:c r="C30" s="2" t="str">
        <x:v>Other liabilities held constant</x:v>
      </x:c>
      <x:c r="D30" s="26" t="n">
        <x:f>Historical!$D$56+Historical!$D$58+Historical!$D$59</x:f>
        <x:v>454</x:v>
      </x:c>
      <x:c r="E30" s="26" t="n">
        <x:f>Historical!$D$56+Historical!$D$58+Historical!$D$59</x:f>
        <x:v>454</x:v>
      </x:c>
      <x:c r="F30" s="26" t="n">
        <x:f>Historical!$D$56+Historical!$D$58+Historical!$D$59</x:f>
        <x:v>454</x:v>
      </x:c>
      <x:c r="G30" s="26" t="n">
        <x:f>Historical!$D$56+Historical!$D$58+Historical!$D$59</x:f>
        <x:v>454</x:v>
      </x:c>
      <x:c r="H30" s="26" t="n">
        <x:f>Historical!$D$56+Historical!$D$58+Historical!$D$59</x:f>
        <x:v>454</x:v>
      </x:c>
      <x:c r="I30" s="3"/>
      <x:c r="J30" s="2"/>
      <x:c r="K30" s="2"/>
      <x:c r="L30" s="2"/>
      <x:c r="M30" s="2"/>
      <x:c r="N30" s="2"/>
      <x:c r="O30" s="2"/>
      <x:c r="P30" s="2"/>
      <x:c r="Q30" s="2"/>
    </x:row>
    <x:row r="31" ht="22" customHeight="1">
      <x:c r="A31" s="2"/>
      <x:c r="B31" s="2"/>
      <x:c r="C31" s="2" t="str">
        <x:v>Total liabilities</x:v>
      </x:c>
      <x:c r="D31" s="27" t="n">
        <x:f>SUM(D28:D30)</x:f>
        <x:v>3454.5740679924243</x:v>
      </x:c>
      <x:c r="E31" s="27" t="n">
        <x:f>SUM(E28:E30)</x:f>
        <x:v>3304.1252532849617</x:v>
      </x:c>
      <x:c r="F31" s="27" t="n">
        <x:f>SUM(F28:F30)</x:f>
        <x:v>3068.7334216859936</x:v>
      </x:c>
      <x:c r="G31" s="27" t="n">
        <x:f>SUM(G28:G30)</x:f>
        <x:v>2773.8898727465776</x:v>
      </x:c>
      <x:c r="H31" s="27" t="n">
        <x:f>SUM(H28:H30)</x:f>
        <x:v>2441.9783144160574</x:v>
      </x:c>
      <x:c r="I31" s="3"/>
      <x:c r="J31" s="2"/>
      <x:c r="K31" s="2"/>
      <x:c r="L31" s="2"/>
      <x:c r="M31" s="2"/>
      <x:c r="N31" s="2"/>
      <x:c r="O31" s="2"/>
      <x:c r="P31" s="2"/>
      <x:c r="Q31" s="2"/>
    </x:row>
    <x:row r="32" ht="22" customHeight="1">
      <x:c r="A32" s="2"/>
      <x:c r="B32" s="2"/>
      <x:c r="C32" s="2" t="str">
        <x:v>Book equity</x:v>
      </x:c>
      <x:c r="D32" s="26" t="n">
        <x:f>Transaction!$D$21+D7+D13</x:f>
        <x:v>3860.2624500000006</x:v>
      </x:c>
      <x:c r="E32" s="27" t="n">
        <x:f>D32+E7+E13</x:f>
        <x:v>3995.0859067890633</x:v>
      </x:c>
      <x:c r="F32" s="27" t="n">
        <x:f>E32+F7+F13</x:f>
        <x:v>4163.276028831531</x:v>
      </x:c>
      <x:c r="G32" s="27" t="n">
        <x:f>F32+G7+G13</x:f>
        <x:v>4359.735776129303</x:v>
      </x:c>
      <x:c r="H32" s="27" t="n">
        <x:f>G32+H7+H13</x:f>
        <x:v>4577.764145170596</x:v>
      </x:c>
      <x:c r="I32" s="3"/>
      <x:c r="J32" s="2"/>
      <x:c r="K32" s="2"/>
      <x:c r="L32" s="2"/>
      <x:c r="M32" s="2"/>
      <x:c r="N32" s="2"/>
      <x:c r="O32" s="2"/>
      <x:c r="P32" s="2"/>
      <x:c r="Q32" s="2"/>
    </x:row>
    <x:row r="33" ht="22" customHeight="1">
      <x:c r="A33" s="2"/>
      <x:c r="B33" s="2"/>
      <x:c r="C33" s="2" t="str">
        <x:v>Liabilities and equity</x:v>
      </x:c>
      <x:c r="D33" s="27" t="n">
        <x:f>D31+D32</x:f>
        <x:v>7314.836517992425</x:v>
      </x:c>
      <x:c r="E33" s="27" t="n">
        <x:f>E31+E32</x:f>
        <x:v>7299.2111600740245</x:v>
      </x:c>
      <x:c r="F33" s="27" t="n">
        <x:f>F31+F32</x:f>
        <x:v>7232.009450517525</x:v>
      </x:c>
      <x:c r="G33" s="27" t="n">
        <x:f>G31+G32</x:f>
        <x:v>7133.625648875881</x:v>
      </x:c>
      <x:c r="H33" s="27" t="n">
        <x:f>H31+H32</x:f>
        <x:v>7019.742459586653</x:v>
      </x:c>
      <x:c r="I33" s="3"/>
      <x:c r="J33" s="2"/>
      <x:c r="K33" s="2"/>
      <x:c r="L33" s="2"/>
      <x:c r="M33" s="2"/>
      <x:c r="N33" s="2"/>
      <x:c r="O33" s="2"/>
      <x:c r="P33" s="2"/>
      <x:c r="Q33" s="2"/>
    </x:row>
    <x:row r="34" ht="22" customHeight="1">
      <x:c r="A34" s="2"/>
      <x:c r="B34" s="2"/>
      <x:c r="C34" s="2" t="str">
        <x:v>Balance sheet difference</x:v>
      </x:c>
      <x:c r="D34" s="27" t="n">
        <x:f>D26-D33</x:f>
        <x:v>9.094947017729282e-13</x:v>
      </x:c>
      <x:c r="E34" s="27" t="n">
        <x:f>E26-E33</x:f>
        <x:v>0</x:v>
      </x:c>
      <x:c r="F34" s="27" t="n">
        <x:f>F26-F33</x:f>
        <x:v>0</x:v>
      </x:c>
      <x:c r="G34" s="27" t="n">
        <x:f>G26-G33</x:f>
        <x:v>0</x:v>
      </x:c>
      <x:c r="H34" s="27" t="n">
        <x:f>H26-H33</x:f>
        <x:v>9.094947017729282e-13</x:v>
      </x:c>
      <x:c r="I34" s="3"/>
      <x:c r="J34" s="2"/>
      <x:c r="K34" s="2"/>
      <x:c r="L34" s="2"/>
      <x:c r="M34" s="2"/>
      <x:c r="N34" s="2"/>
      <x:c r="O34" s="2"/>
      <x:c r="P34" s="2"/>
      <x:c r="Q34" s="2"/>
    </x:row>
    <x:row r="35" ht="22" customHeight="1">
      <x:c r="A35" s="2"/>
      <x:c r="B35" s="2"/>
      <x:c r="C35" s="2"/>
      <x:c r="D35" s="3"/>
      <x:c r="E35" s="3"/>
      <x:c r="F35" s="3"/>
      <x:c r="G35" s="3"/>
      <x:c r="H35" s="3"/>
      <x:c r="I35" s="3"/>
      <x:c r="J35" s="2"/>
      <x:c r="K35" s="2"/>
      <x:c r="L35" s="2"/>
      <x:c r="M35" s="2"/>
      <x:c r="N35" s="2"/>
      <x:c r="O35" s="2"/>
      <x:c r="P35" s="2"/>
      <x:c r="Q35" s="2"/>
    </x:row>
    <x:row r="36" ht="22" customHeight="1">
      <x:c r="A36" s="2"/>
      <x:c r="B36" s="2"/>
      <x:c r="C36" s="2"/>
      <x:c r="D36" s="3"/>
      <x:c r="E36" s="3"/>
      <x:c r="F36" s="3"/>
      <x:c r="G36" s="3"/>
      <x:c r="H36" s="3"/>
      <x:c r="I36" s="3"/>
      <x:c r="J36" s="2"/>
      <x:c r="K36" s="2"/>
      <x:c r="L36" s="2"/>
      <x:c r="M36" s="2"/>
      <x:c r="N36" s="2"/>
      <x:c r="O36" s="2"/>
      <x:c r="P36" s="2"/>
      <x:c r="Q36" s="2"/>
    </x:row>
    <x:row r="37" ht="22" customHeight="1">
      <x:c r="A37" s="2"/>
      <x:c r="B37" s="2"/>
      <x:c r="C37" s="19" t="str">
        <x:v>Simplified acquisition statements: all equity acquired; other assets/liabilities held constant.</x:v>
      </x:c>
      <x:c r="D37" s="20"/>
      <x:c r="E37" s="20"/>
      <x:c r="F37" s="20"/>
      <x:c r="G37" s="20"/>
      <x:c r="H37" s="20"/>
      <x:c r="I37" s="20"/>
      <x:c r="J37" s="19"/>
      <x:c r="K37" s="19"/>
      <x:c r="L37" s="19"/>
      <x:c r="M37" s="19"/>
      <x:c r="N37" s="2"/>
      <x:c r="O37" s="2"/>
      <x:c r="P37" s="2"/>
      <x:c r="Q37" s="2"/>
    </x:row>
    <x:row r="38" ht="22" customHeight="1">
      <x:c r="A38" s="2"/>
      <x:c r="B38" s="2"/>
      <x:c r="C38" s="2"/>
      <x:c r="D38" s="3"/>
      <x:c r="E38" s="3"/>
      <x:c r="F38" s="3"/>
      <x:c r="G38" s="3"/>
      <x:c r="H38" s="3"/>
      <x:c r="I38" s="3"/>
      <x:c r="J38" s="2"/>
      <x:c r="K38" s="2"/>
      <x:c r="L38" s="2"/>
      <x:c r="M38" s="2"/>
      <x:c r="N38" s="2"/>
      <x:c r="O38" s="2"/>
      <x:c r="P38" s="2"/>
      <x:c r="Q38" s="2"/>
    </x:row>
    <x:row r="39" ht="22" customHeight="1">
      <x:c r="A39" s="2"/>
      <x:c r="B39" s="2"/>
      <x:c r="C39" s="2"/>
      <x:c r="D39" s="3"/>
      <x:c r="E39" s="3"/>
      <x:c r="F39" s="3"/>
      <x:c r="G39" s="3"/>
      <x:c r="H39" s="3"/>
      <x:c r="I39" s="3"/>
      <x:c r="J39" s="2"/>
      <x:c r="K39" s="2"/>
      <x:c r="L39" s="2"/>
      <x:c r="M39" s="2"/>
      <x:c r="N39" s="2"/>
      <x:c r="O39" s="2"/>
      <x:c r="P39" s="2"/>
      <x:c r="Q39" s="2"/>
    </x:row>
    <x:row r="40" ht="22" customHeight="1">
      <x:c r="A40" s="2"/>
      <x:c r="B40" s="2"/>
      <x:c r="C40" s="2"/>
      <x:c r="D40" s="3"/>
      <x:c r="E40" s="3"/>
      <x:c r="F40" s="3"/>
      <x:c r="G40" s="3"/>
      <x:c r="H40" s="3"/>
      <x:c r="I40" s="3"/>
      <x:c r="J40" s="2"/>
      <x:c r="K40" s="2"/>
      <x:c r="L40" s="2"/>
      <x:c r="M40" s="2"/>
      <x:c r="N40" s="2"/>
      <x:c r="O40" s="2"/>
      <x:c r="P40" s="2"/>
      <x:c r="Q40" s="2"/>
    </x:row>
    <x:row r="41" ht="22" customHeight="1">
      <x:c r="A41" s="2"/>
      <x:c r="B41" s="2"/>
      <x:c r="C41" s="2"/>
      <x:c r="D41" s="3"/>
      <x:c r="E41" s="3"/>
      <x:c r="F41" s="3"/>
      <x:c r="G41" s="3"/>
      <x:c r="H41" s="3"/>
      <x:c r="I41" s="3"/>
      <x:c r="J41" s="2"/>
      <x:c r="K41" s="2"/>
      <x:c r="L41" s="2"/>
      <x:c r="M41" s="2"/>
      <x:c r="N41" s="2"/>
      <x:c r="O41" s="2"/>
      <x:c r="P41" s="2"/>
      <x:c r="Q41" s="2"/>
    </x:row>
    <x:row r="42" ht="22" customHeight="1">
      <x:c r="A42" s="2"/>
      <x:c r="B42" s="2"/>
      <x:c r="C42" s="2"/>
      <x:c r="D42" s="3"/>
      <x:c r="E42" s="3"/>
      <x:c r="F42" s="3"/>
      <x:c r="G42" s="3"/>
      <x:c r="H42" s="3"/>
      <x:c r="I42" s="3"/>
      <x:c r="J42" s="2"/>
      <x:c r="K42" s="2"/>
      <x:c r="L42" s="2"/>
      <x:c r="M42" s="2"/>
      <x:c r="N42" s="2"/>
      <x:c r="O42" s="2"/>
      <x:c r="P42" s="2"/>
      <x:c r="Q42" s="2"/>
    </x:row>
    <x:row r="43" ht="22" customHeight="1">
      <x:c r="A43" s="2"/>
      <x:c r="B43" s="2"/>
      <x:c r="C43" s="2"/>
      <x:c r="D43" s="3"/>
      <x:c r="E43" s="3"/>
      <x:c r="F43" s="3"/>
      <x:c r="G43" s="3"/>
      <x:c r="H43" s="3"/>
      <x:c r="I43" s="3"/>
      <x:c r="J43" s="2"/>
      <x:c r="K43" s="2"/>
      <x:c r="L43" s="2"/>
      <x:c r="M43" s="2"/>
      <x:c r="N43" s="2"/>
      <x:c r="O43" s="2"/>
      <x:c r="P43" s="2"/>
      <x:c r="Q43" s="2"/>
    </x:row>
    <x:row r="44" ht="22" customHeight="1">
      <x:c r="A44" s="2"/>
      <x:c r="B44" s="2"/>
      <x:c r="C44" s="2"/>
      <x:c r="D44" s="3"/>
      <x:c r="E44" s="3"/>
      <x:c r="F44" s="3"/>
      <x:c r="G44" s="3"/>
      <x:c r="H44" s="3"/>
      <x:c r="I44" s="3"/>
      <x:c r="J44" s="2"/>
      <x:c r="K44" s="2"/>
      <x:c r="L44" s="2"/>
      <x:c r="M44" s="2"/>
      <x:c r="N44" s="2"/>
      <x:c r="O44" s="2"/>
      <x:c r="P44" s="2"/>
      <x:c r="Q44" s="2"/>
    </x:row>
    <x:row r="45" ht="22" customHeight="1">
      <x:c r="A45" s="2"/>
      <x:c r="B45" s="2"/>
      <x:c r="C45" s="2"/>
      <x:c r="D45" s="3"/>
      <x:c r="E45" s="3"/>
      <x:c r="F45" s="3"/>
      <x:c r="G45" s="3"/>
      <x:c r="H45" s="3"/>
      <x:c r="I45" s="3"/>
      <x:c r="J45" s="2"/>
      <x:c r="K45" s="2"/>
      <x:c r="L45" s="2"/>
      <x:c r="M45" s="2"/>
      <x:c r="N45" s="2"/>
      <x:c r="O45" s="2"/>
      <x:c r="P45" s="2"/>
      <x:c r="Q45" s="2"/>
    </x:row>
    <x:row r="46" ht="22" customHeight="1">
      <x:c r="A46" s="2"/>
      <x:c r="B46" s="2"/>
      <x:c r="C46" s="2"/>
      <x:c r="D46" s="3"/>
      <x:c r="E46" s="3"/>
      <x:c r="F46" s="3"/>
      <x:c r="G46" s="3"/>
      <x:c r="H46" s="3"/>
      <x:c r="I46" s="3"/>
      <x:c r="J46" s="2"/>
      <x:c r="K46" s="2"/>
      <x:c r="L46" s="2"/>
      <x:c r="M46" s="2"/>
      <x:c r="N46" s="2"/>
      <x:c r="O46" s="2"/>
      <x:c r="P46" s="2"/>
      <x:c r="Q46" s="2"/>
    </x:row>
    <x:row r="47" ht="22" customHeight="1">
      <x:c r="A47" s="2"/>
      <x:c r="B47" s="2"/>
      <x:c r="C47" s="2"/>
      <x:c r="D47" s="3"/>
      <x:c r="E47" s="3"/>
      <x:c r="F47" s="3"/>
      <x:c r="G47" s="3"/>
      <x:c r="H47" s="3"/>
      <x:c r="I47" s="3"/>
      <x:c r="J47" s="2"/>
      <x:c r="K47" s="2"/>
      <x:c r="L47" s="2"/>
      <x:c r="M47" s="2"/>
      <x:c r="N47" s="2"/>
      <x:c r="O47" s="2"/>
      <x:c r="P47" s="2"/>
      <x:c r="Q47" s="2"/>
    </x:row>
    <x:row r="48" ht="22" customHeight="1">
      <x:c r="A48" s="2"/>
      <x:c r="B48" s="2"/>
      <x:c r="C48" s="2"/>
      <x:c r="D48" s="3"/>
      <x:c r="E48" s="3"/>
      <x:c r="F48" s="3"/>
      <x:c r="G48" s="3"/>
      <x:c r="H48" s="3"/>
      <x:c r="I48" s="3"/>
      <x:c r="J48" s="2"/>
      <x:c r="K48" s="2"/>
      <x:c r="L48" s="2"/>
      <x:c r="M48" s="2"/>
      <x:c r="N48" s="2"/>
      <x:c r="O48" s="2"/>
      <x:c r="P48" s="2"/>
      <x:c r="Q48" s="2"/>
    </x:row>
    <x:row r="49" ht="22" customHeight="1">
      <x:c r="A49" s="2"/>
      <x:c r="B49" s="2"/>
      <x:c r="C49" s="2"/>
      <x:c r="D49" s="3"/>
      <x:c r="E49" s="3"/>
      <x:c r="F49" s="3"/>
      <x:c r="G49" s="3"/>
      <x:c r="H49" s="3"/>
      <x:c r="I49" s="3"/>
      <x:c r="J49" s="2"/>
      <x:c r="K49" s="2"/>
      <x:c r="L49" s="2"/>
      <x:c r="M49" s="2"/>
      <x:c r="N49" s="2"/>
      <x:c r="O49" s="2"/>
      <x:c r="P49" s="2"/>
      <x:c r="Q49" s="2"/>
    </x:row>
    <x:row r="50" ht="22" customHeight="1">
      <x:c r="A50" s="2"/>
      <x:c r="B50" s="2"/>
      <x:c r="C50" s="2"/>
      <x:c r="D50" s="3"/>
      <x:c r="E50" s="3"/>
      <x:c r="F50" s="3"/>
      <x:c r="G50" s="3"/>
      <x:c r="H50" s="3"/>
      <x:c r="I50" s="3"/>
      <x:c r="J50" s="2"/>
      <x:c r="K50" s="2"/>
      <x:c r="L50" s="2"/>
      <x:c r="M50" s="2"/>
      <x:c r="N50" s="2"/>
      <x:c r="O50" s="2"/>
      <x:c r="P50" s="2"/>
      <x:c r="Q50" s="2"/>
    </x:row>
    <x:row r="51" ht="22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2"/>
      <x:c r="K51" s="2"/>
      <x:c r="L51" s="2"/>
      <x:c r="M51" s="2"/>
      <x:c r="N51" s="2"/>
      <x:c r="O51" s="2"/>
      <x:c r="P51" s="2"/>
      <x:c r="Q51" s="2"/>
    </x:row>
    <x:row r="52" ht="22" customHeight="1">
      <x:c r="A52" s="2"/>
      <x:c r="B52" s="2"/>
      <x:c r="C52" s="2"/>
      <x:c r="D52" s="3"/>
      <x:c r="E52" s="3"/>
      <x:c r="F52" s="3"/>
      <x:c r="G52" s="3"/>
      <x:c r="H52" s="3"/>
      <x:c r="I52" s="3"/>
      <x:c r="J52" s="2"/>
      <x:c r="K52" s="2"/>
      <x:c r="L52" s="2"/>
      <x:c r="M52" s="2"/>
      <x:c r="N52" s="2"/>
      <x:c r="O52" s="2"/>
      <x:c r="P52" s="2"/>
      <x:c r="Q52" s="2"/>
    </x:row>
    <x:row r="53" ht="22" customHeight="1">
      <x:c r="A53" s="2"/>
      <x:c r="B53" s="2"/>
      <x:c r="C53" s="2"/>
      <x:c r="D53" s="3"/>
      <x:c r="E53" s="3"/>
      <x:c r="F53" s="3"/>
      <x:c r="G53" s="3"/>
      <x:c r="H53" s="3"/>
      <x:c r="I53" s="3"/>
      <x:c r="J53" s="2"/>
      <x:c r="K53" s="2"/>
      <x:c r="L53" s="2"/>
      <x:c r="M53" s="2"/>
      <x:c r="N53" s="2"/>
      <x:c r="O53" s="2"/>
      <x:c r="P53" s="2"/>
      <x:c r="Q53" s="2"/>
    </x:row>
    <x:row r="54" ht="22" customHeight="1">
      <x:c r="A54" s="2"/>
      <x:c r="B54" s="2"/>
      <x:c r="C54" s="2"/>
      <x:c r="D54" s="3"/>
      <x:c r="E54" s="3"/>
      <x:c r="F54" s="3"/>
      <x:c r="G54" s="3"/>
      <x:c r="H54" s="3"/>
      <x:c r="I54" s="3"/>
      <x:c r="J54" s="2"/>
      <x:c r="K54" s="2"/>
      <x:c r="L54" s="2"/>
      <x:c r="M54" s="2"/>
      <x:c r="N54" s="2"/>
      <x:c r="O54" s="2"/>
      <x:c r="P54" s="2"/>
      <x:c r="Q54" s="2"/>
    </x:row>
    <x:row r="55" ht="22" customHeight="1">
      <x:c r="A55" s="2"/>
      <x:c r="B55" s="2"/>
      <x:c r="C55" s="2"/>
      <x:c r="D55" s="3"/>
      <x:c r="E55" s="3"/>
      <x:c r="F55" s="3"/>
      <x:c r="G55" s="3"/>
      <x:c r="H55" s="3"/>
      <x:c r="I55" s="3"/>
      <x:c r="J55" s="2"/>
      <x:c r="K55" s="2"/>
      <x:c r="L55" s="2"/>
      <x:c r="M55" s="2"/>
      <x:c r="N55" s="2"/>
      <x:c r="O55" s="2"/>
      <x:c r="P55" s="2"/>
      <x:c r="Q55" s="2"/>
    </x:row>
    <x:row r="56" ht="22" customHeight="1">
      <x:c r="A56" s="2"/>
      <x:c r="B56" s="2"/>
      <x:c r="C56" s="2"/>
      <x:c r="D56" s="3"/>
      <x:c r="E56" s="3"/>
      <x:c r="F56" s="3"/>
      <x:c r="G56" s="3"/>
      <x:c r="H56" s="3"/>
      <x:c r="I56" s="3"/>
      <x:c r="J56" s="2"/>
      <x:c r="K56" s="2"/>
      <x:c r="L56" s="2"/>
      <x:c r="M56" s="2"/>
      <x:c r="N56" s="2"/>
      <x:c r="O56" s="2"/>
      <x:c r="P56" s="2"/>
      <x:c r="Q56" s="2"/>
    </x:row>
    <x:row r="57" ht="22" customHeight="1">
      <x:c r="A57" s="2"/>
      <x:c r="B57" s="2"/>
      <x:c r="C57" s="2"/>
      <x:c r="D57" s="3"/>
      <x:c r="E57" s="3"/>
      <x:c r="F57" s="3"/>
      <x:c r="G57" s="3"/>
      <x:c r="H57" s="3"/>
      <x:c r="I57" s="3"/>
      <x:c r="J57" s="2"/>
      <x:c r="K57" s="2"/>
      <x:c r="L57" s="2"/>
      <x:c r="M57" s="2"/>
      <x:c r="N57" s="2"/>
      <x:c r="O57" s="2"/>
      <x:c r="P57" s="2"/>
      <x:c r="Q57" s="2"/>
    </x:row>
    <x:row r="58" ht="22" customHeight="1">
      <x:c r="A58" s="2"/>
      <x:c r="B58" s="2"/>
      <x:c r="C58" s="2"/>
      <x:c r="D58" s="3"/>
      <x:c r="E58" s="3"/>
      <x:c r="F58" s="3"/>
      <x:c r="G58" s="3"/>
      <x:c r="H58" s="3"/>
      <x:c r="I58" s="3"/>
      <x:c r="J58" s="2"/>
      <x:c r="K58" s="2"/>
      <x:c r="L58" s="2"/>
      <x:c r="M58" s="2"/>
      <x:c r="N58" s="2"/>
      <x:c r="O58" s="2"/>
      <x:c r="P58" s="2"/>
      <x:c r="Q58" s="2"/>
    </x:row>
    <x:row r="59" ht="22" customHeight="1">
      <x:c r="A59" s="2"/>
      <x:c r="B59" s="2"/>
      <x:c r="C59" s="2"/>
      <x:c r="D59" s="3"/>
      <x:c r="E59" s="3"/>
      <x:c r="F59" s="3"/>
      <x:c r="G59" s="3"/>
      <x:c r="H59" s="3"/>
      <x:c r="I59" s="3"/>
      <x:c r="J59" s="2"/>
      <x:c r="K59" s="2"/>
      <x:c r="L59" s="2"/>
      <x:c r="M59" s="2"/>
      <x:c r="N59" s="2"/>
      <x:c r="O59" s="2"/>
      <x:c r="P59" s="2"/>
      <x:c r="Q59" s="2"/>
    </x:row>
    <x:row r="60" ht="22" customHeight="1">
      <x:c r="A60" s="2"/>
      <x:c r="B60" s="2"/>
      <x:c r="C60" s="2"/>
      <x:c r="D60" s="3"/>
      <x:c r="E60" s="3"/>
      <x:c r="F60" s="3"/>
      <x:c r="G60" s="3"/>
      <x:c r="H60" s="3"/>
      <x:c r="I60" s="3"/>
      <x:c r="J60" s="2"/>
      <x:c r="K60" s="2"/>
      <x:c r="L60" s="2"/>
      <x:c r="M60" s="2"/>
      <x:c r="N60" s="2"/>
      <x:c r="O60" s="2"/>
      <x:c r="P60" s="2"/>
      <x:c r="Q60" s="2"/>
    </x:row>
    <x:row r="61" ht="22" customHeight="1">
      <x:c r="A61" s="2"/>
      <x:c r="B61" s="2"/>
      <x:c r="C61" s="2"/>
      <x:c r="D61" s="3"/>
      <x:c r="E61" s="3"/>
      <x:c r="F61" s="3"/>
      <x:c r="G61" s="3"/>
      <x:c r="H61" s="3"/>
      <x:c r="I61" s="3"/>
      <x:c r="J61" s="2"/>
      <x:c r="K61" s="2"/>
      <x:c r="L61" s="2"/>
      <x:c r="M61" s="2"/>
      <x:c r="N61" s="2"/>
      <x:c r="O61" s="2"/>
      <x:c r="P61" s="2"/>
      <x:c r="Q61" s="2"/>
    </x:row>
    <x:row r="62" ht="22" customHeight="1">
      <x:c r="A62" s="2"/>
      <x:c r="B62" s="2"/>
      <x:c r="C62" s="2"/>
      <x:c r="D62" s="3"/>
      <x:c r="E62" s="3"/>
      <x:c r="F62" s="3"/>
      <x:c r="G62" s="3"/>
      <x:c r="H62" s="3"/>
      <x:c r="I62" s="3"/>
      <x:c r="J62" s="2"/>
      <x:c r="K62" s="2"/>
      <x:c r="L62" s="2"/>
      <x:c r="M62" s="2"/>
      <x:c r="N62" s="2"/>
      <x:c r="O62" s="2"/>
      <x:c r="P62" s="2"/>
      <x:c r="Q62" s="2"/>
    </x:row>
    <x:row r="63" ht="22" customHeight="1">
      <x:c r="A63" s="2"/>
      <x:c r="B63" s="2"/>
      <x:c r="C63" s="2"/>
      <x:c r="D63" s="3"/>
      <x:c r="E63" s="3"/>
      <x:c r="F63" s="3"/>
      <x:c r="G63" s="3"/>
      <x:c r="H63" s="3"/>
      <x:c r="I63" s="3"/>
      <x:c r="J63" s="2"/>
      <x:c r="K63" s="2"/>
      <x:c r="L63" s="2"/>
      <x:c r="M63" s="2"/>
      <x:c r="N63" s="2"/>
      <x:c r="O63" s="2"/>
      <x:c r="P63" s="2"/>
      <x:c r="Q63" s="2"/>
    </x:row>
    <x:row r="64" ht="22" customHeight="1">
      <x:c r="A64" s="2"/>
      <x:c r="B64" s="2"/>
      <x:c r="C64" s="2"/>
      <x:c r="D64" s="3"/>
      <x:c r="E64" s="3"/>
      <x:c r="F64" s="3"/>
      <x:c r="G64" s="3"/>
      <x:c r="H64" s="3"/>
      <x:c r="I64" s="3"/>
      <x:c r="J64" s="2"/>
      <x:c r="K64" s="2"/>
      <x:c r="L64" s="2"/>
      <x:c r="M64" s="2"/>
      <x:c r="N64" s="2"/>
      <x:c r="O64" s="2"/>
      <x:c r="P64" s="2"/>
      <x:c r="Q64" s="2"/>
    </x:row>
    <x:row r="65" ht="22" customHeight="1">
      <x:c r="A65" s="2"/>
      <x:c r="B65" s="2"/>
      <x:c r="C65" s="2"/>
      <x:c r="D65" s="3"/>
      <x:c r="E65" s="3"/>
      <x:c r="F65" s="3"/>
      <x:c r="G65" s="3"/>
      <x:c r="H65" s="3"/>
      <x:c r="I65" s="3"/>
      <x:c r="J65" s="2"/>
      <x:c r="K65" s="2"/>
      <x:c r="L65" s="2"/>
      <x:c r="M65" s="2"/>
      <x:c r="N65" s="2"/>
      <x:c r="O65" s="2"/>
      <x:c r="P65" s="2"/>
      <x:c r="Q65" s="2"/>
    </x:row>
    <x:row r="66" ht="22" customHeight="1">
      <x:c r="A66" s="2"/>
      <x:c r="B66" s="2"/>
      <x:c r="C66" s="2"/>
      <x:c r="D66" s="3"/>
      <x:c r="E66" s="3"/>
      <x:c r="F66" s="3"/>
      <x:c r="G66" s="3"/>
      <x:c r="H66" s="3"/>
      <x:c r="I66" s="3"/>
      <x:c r="J66" s="2"/>
      <x:c r="K66" s="2"/>
      <x:c r="L66" s="2"/>
      <x:c r="M66" s="2"/>
      <x:c r="N66" s="2"/>
      <x:c r="O66" s="2"/>
      <x:c r="P66" s="2"/>
      <x:c r="Q66" s="2"/>
    </x:row>
    <x:row r="67" ht="22" customHeight="1">
      <x:c r="A67" s="2"/>
      <x:c r="B67" s="2"/>
      <x:c r="C67" s="2"/>
      <x:c r="D67" s="3"/>
      <x:c r="E67" s="3"/>
      <x:c r="F67" s="3"/>
      <x:c r="G67" s="3"/>
      <x:c r="H67" s="3"/>
      <x:c r="I67" s="3"/>
      <x:c r="J67" s="2"/>
      <x:c r="K67" s="2"/>
      <x:c r="L67" s="2"/>
      <x:c r="M67" s="2"/>
      <x:c r="N67" s="2"/>
      <x:c r="O67" s="2"/>
      <x:c r="P67" s="2"/>
      <x:c r="Q67" s="2"/>
    </x:row>
    <x:row r="68" ht="22" customHeight="1">
      <x:c r="A68" s="2"/>
      <x:c r="B68" s="2"/>
      <x:c r="C68" s="2"/>
      <x:c r="D68" s="3"/>
      <x:c r="E68" s="3"/>
      <x:c r="F68" s="3"/>
      <x:c r="G68" s="3"/>
      <x:c r="H68" s="3"/>
      <x:c r="I68" s="3"/>
      <x:c r="J68" s="2"/>
      <x:c r="K68" s="2"/>
      <x:c r="L68" s="2"/>
      <x:c r="M68" s="2"/>
      <x:c r="N68" s="2"/>
      <x:c r="O68" s="2"/>
      <x:c r="P68" s="2"/>
      <x:c r="Q68" s="2"/>
    </x:row>
    <x:row r="69" ht="22" customHeight="1">
      <x:c r="A69" s="2"/>
      <x:c r="B69" s="2"/>
      <x:c r="C69" s="2"/>
      <x:c r="D69" s="3"/>
      <x:c r="E69" s="3"/>
      <x:c r="F69" s="3"/>
      <x:c r="G69" s="3"/>
      <x:c r="H69" s="3"/>
      <x:c r="I69" s="3"/>
      <x:c r="J69" s="2"/>
      <x:c r="K69" s="2"/>
      <x:c r="L69" s="2"/>
      <x:c r="M69" s="2"/>
      <x:c r="N69" s="2"/>
      <x:c r="O69" s="2"/>
      <x:c r="P69" s="2"/>
      <x:c r="Q69" s="2"/>
    </x:row>
    <x:row r="70" ht="22" customHeight="1">
      <x:c r="A70" s="2"/>
      <x:c r="B70" s="2"/>
      <x:c r="C70" s="2"/>
      <x:c r="D70" s="3"/>
      <x:c r="E70" s="3"/>
      <x:c r="F70" s="3"/>
      <x:c r="G70" s="3"/>
      <x:c r="H70" s="3"/>
      <x:c r="I70" s="3"/>
      <x:c r="J70" s="2"/>
      <x:c r="K70" s="2"/>
      <x:c r="L70" s="2"/>
      <x:c r="M70" s="2"/>
      <x:c r="N70" s="2"/>
      <x:c r="O70" s="2"/>
      <x:c r="P70" s="2"/>
      <x:c r="Q70" s="2"/>
    </x:row>
    <x:row r="71" ht="22" customHeight="1">
      <x:c r="A71" s="2"/>
      <x:c r="B71" s="2"/>
      <x:c r="C71" s="2"/>
      <x:c r="D71" s="3"/>
      <x:c r="E71" s="3"/>
      <x:c r="F71" s="3"/>
      <x:c r="G71" s="3"/>
      <x:c r="H71" s="3"/>
      <x:c r="I71" s="3"/>
      <x:c r="J71" s="2"/>
      <x:c r="K71" s="2"/>
      <x:c r="L71" s="2"/>
      <x:c r="M71" s="2"/>
      <x:c r="N71" s="2"/>
      <x:c r="O71" s="2"/>
      <x:c r="P71" s="2"/>
      <x:c r="Q71" s="2"/>
    </x:row>
    <x:row r="72" ht="22" customHeight="1">
      <x:c r="A72" s="2"/>
      <x:c r="B72" s="2"/>
      <x:c r="C72" s="2"/>
      <x:c r="D72" s="3"/>
      <x:c r="E72" s="3"/>
      <x:c r="F72" s="3"/>
      <x:c r="G72" s="3"/>
      <x:c r="H72" s="3"/>
      <x:c r="I72" s="3"/>
      <x:c r="J72" s="2"/>
      <x:c r="K72" s="2"/>
      <x:c r="L72" s="2"/>
      <x:c r="M72" s="2"/>
      <x:c r="N72" s="2"/>
      <x:c r="O72" s="2"/>
      <x:c r="P72" s="2"/>
      <x:c r="Q72" s="2"/>
    </x:row>
    <x:row r="73" ht="22" customHeight="1">
      <x:c r="A73" s="2"/>
      <x:c r="B73" s="2"/>
      <x:c r="C73" s="2"/>
      <x:c r="D73" s="3"/>
      <x:c r="E73" s="3"/>
      <x:c r="F73" s="3"/>
      <x:c r="G73" s="3"/>
      <x:c r="H73" s="3"/>
      <x:c r="I73" s="3"/>
      <x:c r="J73" s="2"/>
      <x:c r="K73" s="2"/>
      <x:c r="L73" s="2"/>
      <x:c r="M73" s="2"/>
      <x:c r="N73" s="2"/>
      <x:c r="O73" s="2"/>
      <x:c r="P73" s="2"/>
      <x:c r="Q73" s="2"/>
    </x:row>
    <x:row r="74" ht="22" customHeight="1">
      <x:c r="A74" s="2"/>
      <x:c r="B74" s="2"/>
      <x:c r="C74" s="2"/>
      <x:c r="D74" s="3"/>
      <x:c r="E74" s="3"/>
      <x:c r="F74" s="3"/>
      <x:c r="G74" s="3"/>
      <x:c r="H74" s="3"/>
      <x:c r="I74" s="3"/>
      <x:c r="J74" s="2"/>
      <x:c r="K74" s="2"/>
      <x:c r="L74" s="2"/>
      <x:c r="M74" s="2"/>
      <x:c r="N74" s="2"/>
      <x:c r="O74" s="2"/>
      <x:c r="P74" s="2"/>
      <x:c r="Q74" s="2"/>
    </x:row>
    <x:row r="75" ht="22" customHeight="1">
      <x:c r="A75" s="2"/>
      <x:c r="B75" s="2"/>
      <x:c r="C75" s="2"/>
      <x:c r="D75" s="3"/>
      <x:c r="E75" s="3"/>
      <x:c r="F75" s="3"/>
      <x:c r="G75" s="3"/>
      <x:c r="H75" s="3"/>
      <x:c r="I75" s="3"/>
      <x:c r="J75" s="2"/>
      <x:c r="K75" s="2"/>
      <x:c r="L75" s="2"/>
      <x:c r="M75" s="2"/>
      <x:c r="N75" s="2"/>
      <x:c r="O75" s="2"/>
      <x:c r="P75" s="2"/>
      <x:c r="Q75" s="2"/>
    </x:row>
    <x:row r="76" ht="22" customHeight="1">
      <x:c r="A76" s="2"/>
      <x:c r="B76" s="2"/>
      <x:c r="C76" s="2"/>
      <x:c r="D76" s="3"/>
      <x:c r="E76" s="3"/>
      <x:c r="F76" s="3"/>
      <x:c r="G76" s="3"/>
      <x:c r="H76" s="3"/>
      <x:c r="I76" s="3"/>
      <x:c r="J76" s="2"/>
      <x:c r="K76" s="2"/>
      <x:c r="L76" s="2"/>
      <x:c r="M76" s="2"/>
      <x:c r="N76" s="2"/>
      <x:c r="O76" s="2"/>
      <x:c r="P76" s="2"/>
      <x:c r="Q76" s="2"/>
    </x:row>
    <x:row r="77" ht="22" customHeight="1">
      <x:c r="A77" s="2"/>
      <x:c r="B77" s="2"/>
      <x:c r="C77" s="2"/>
      <x:c r="D77" s="3"/>
      <x:c r="E77" s="3"/>
      <x:c r="F77" s="3"/>
      <x:c r="G77" s="3"/>
      <x:c r="H77" s="3"/>
      <x:c r="I77" s="3"/>
      <x:c r="J77" s="2"/>
      <x:c r="K77" s="2"/>
      <x:c r="L77" s="2"/>
      <x:c r="M77" s="2"/>
      <x:c r="N77" s="2"/>
      <x:c r="O77" s="2"/>
      <x:c r="P77" s="2"/>
      <x:c r="Q77" s="2"/>
    </x:row>
    <x:row r="78" ht="22" customHeight="1">
      <x:c r="A78" s="2"/>
      <x:c r="B78" s="2"/>
      <x:c r="C78" s="2"/>
      <x:c r="D78" s="3"/>
      <x:c r="E78" s="3"/>
      <x:c r="F78" s="3"/>
      <x:c r="G78" s="3"/>
      <x:c r="H78" s="3"/>
      <x:c r="I78" s="3"/>
      <x:c r="J78" s="2"/>
      <x:c r="K78" s="2"/>
      <x:c r="L78" s="2"/>
      <x:c r="M78" s="2"/>
      <x:c r="N78" s="2"/>
      <x:c r="O78" s="2"/>
      <x:c r="P78" s="2"/>
      <x:c r="Q78" s="2"/>
    </x:row>
    <x:row r="79" ht="22" customHeight="1">
      <x:c r="A79" s="2"/>
      <x:c r="B79" s="2"/>
      <x:c r="C79" s="2"/>
      <x:c r="D79" s="3"/>
      <x:c r="E79" s="3"/>
      <x:c r="F79" s="3"/>
      <x:c r="G79" s="3"/>
      <x:c r="H79" s="3"/>
      <x:c r="I79" s="3"/>
      <x:c r="J79" s="2"/>
      <x:c r="K79" s="2"/>
      <x:c r="L79" s="2"/>
      <x:c r="M79" s="2"/>
      <x:c r="N79" s="2"/>
      <x:c r="O79" s="2"/>
      <x:c r="P79" s="2"/>
      <x:c r="Q79" s="2"/>
    </x:row>
    <x:row r="80" ht="22" customHeight="1">
      <x:c r="A80" s="2"/>
      <x:c r="B80" s="2"/>
      <x:c r="C80" s="2"/>
      <x:c r="D80" s="3"/>
      <x:c r="E80" s="3"/>
      <x:c r="F80" s="3"/>
      <x:c r="G80" s="3"/>
      <x:c r="H80" s="3"/>
      <x:c r="I80" s="3"/>
      <x:c r="J80" s="2"/>
      <x:c r="K80" s="2"/>
      <x:c r="L80" s="2"/>
      <x:c r="M80" s="2"/>
      <x:c r="N80" s="2"/>
      <x:c r="O80" s="2"/>
      <x:c r="P80" s="2"/>
      <x:c r="Q80" s="2"/>
    </x:row>
    <x:row r="81" ht="22" customHeight="1">
      <x:c r="A81" s="2"/>
      <x:c r="B81" s="2"/>
      <x:c r="C81" s="2"/>
      <x:c r="D81" s="3"/>
      <x:c r="E81" s="3"/>
      <x:c r="F81" s="3"/>
      <x:c r="G81" s="3"/>
      <x:c r="H81" s="3"/>
      <x:c r="I81" s="3"/>
      <x:c r="J81" s="2"/>
      <x:c r="K81" s="2"/>
      <x:c r="L81" s="2"/>
      <x:c r="M81" s="2"/>
      <x:c r="N81" s="2"/>
      <x:c r="O81" s="2"/>
      <x:c r="P81" s="2"/>
      <x:c r="Q81" s="2"/>
    </x:row>
    <x:row r="82" ht="22" customHeight="1">
      <x:c r="A82" s="2"/>
      <x:c r="B82" s="2"/>
      <x:c r="C82" s="2"/>
      <x:c r="D82" s="3"/>
      <x:c r="E82" s="3"/>
      <x:c r="F82" s="3"/>
      <x:c r="G82" s="3"/>
      <x:c r="H82" s="3"/>
      <x:c r="I82" s="3"/>
      <x:c r="J82" s="2"/>
      <x:c r="K82" s="2"/>
      <x:c r="L82" s="2"/>
      <x:c r="M82" s="2"/>
      <x:c r="N82" s="2"/>
      <x:c r="O82" s="2"/>
      <x:c r="P82" s="2"/>
      <x:c r="Q82" s="2"/>
    </x:row>
    <x:row r="83" ht="22" customHeight="1">
      <x:c r="A83" s="2"/>
      <x:c r="B83" s="2"/>
      <x:c r="C83" s="2"/>
      <x:c r="D83" s="3"/>
      <x:c r="E83" s="3"/>
      <x:c r="F83" s="3"/>
      <x:c r="G83" s="3"/>
      <x:c r="H83" s="3"/>
      <x:c r="I83" s="3"/>
      <x:c r="J83" s="2"/>
      <x:c r="K83" s="2"/>
      <x:c r="L83" s="2"/>
      <x:c r="M83" s="2"/>
      <x:c r="N83" s="2"/>
      <x:c r="O83" s="2"/>
      <x:c r="P83" s="2"/>
      <x:c r="Q83" s="2"/>
    </x:row>
    <x:row r="84" ht="22" customHeight="1">
      <x:c r="A84" s="2"/>
      <x:c r="B84" s="2"/>
      <x:c r="C84" s="2"/>
      <x:c r="D84" s="3"/>
      <x:c r="E84" s="3"/>
      <x:c r="F84" s="3"/>
      <x:c r="G84" s="3"/>
      <x:c r="H84" s="3"/>
      <x:c r="I84" s="3"/>
      <x:c r="J84" s="2"/>
      <x:c r="K84" s="2"/>
      <x:c r="L84" s="2"/>
      <x:c r="M84" s="2"/>
      <x:c r="N84" s="2"/>
      <x:c r="O84" s="2"/>
      <x:c r="P84" s="2"/>
      <x:c r="Q84" s="2"/>
    </x:row>
    <x:row r="85" ht="22" customHeight="1">
      <x:c r="A85" s="2"/>
      <x:c r="B85" s="2"/>
      <x:c r="C85" s="2"/>
      <x:c r="D85" s="3"/>
      <x:c r="E85" s="3"/>
      <x:c r="F85" s="3"/>
      <x:c r="G85" s="3"/>
      <x:c r="H85" s="3"/>
      <x:c r="I85" s="3"/>
      <x:c r="J85" s="2"/>
      <x:c r="K85" s="2"/>
      <x:c r="L85" s="2"/>
      <x:c r="M85" s="2"/>
      <x:c r="N85" s="2"/>
      <x:c r="O85" s="2"/>
      <x:c r="P85" s="2"/>
      <x:c r="Q85" s="2"/>
    </x:row>
    <x:row r="86" ht="22" customHeight="1">
      <x:c r="A86" s="2"/>
      <x:c r="B86" s="2"/>
      <x:c r="C86" s="2"/>
      <x:c r="D86" s="3"/>
      <x:c r="E86" s="3"/>
      <x:c r="F86" s="3"/>
      <x:c r="G86" s="3"/>
      <x:c r="H86" s="3"/>
      <x:c r="I86" s="3"/>
      <x:c r="J86" s="2"/>
      <x:c r="K86" s="2"/>
      <x:c r="L86" s="2"/>
      <x:c r="M86" s="2"/>
      <x:c r="N86" s="2"/>
      <x:c r="O86" s="2"/>
      <x:c r="P86" s="2"/>
      <x:c r="Q86" s="2"/>
    </x:row>
    <x:row r="87" ht="22" customHeight="1">
      <x:c r="A87" s="2"/>
      <x:c r="B87" s="2"/>
      <x:c r="C87" s="2"/>
      <x:c r="D87" s="3"/>
      <x:c r="E87" s="3"/>
      <x:c r="F87" s="3"/>
      <x:c r="G87" s="3"/>
      <x:c r="H87" s="3"/>
      <x:c r="I87" s="3"/>
      <x:c r="J87" s="2"/>
      <x:c r="K87" s="2"/>
      <x:c r="L87" s="2"/>
      <x:c r="M87" s="2"/>
      <x:c r="N87" s="2"/>
      <x:c r="O87" s="2"/>
      <x:c r="P87" s="2"/>
      <x:c r="Q87" s="2"/>
    </x:row>
    <x:row r="88" ht="22" customHeight="1">
      <x:c r="A88" s="2"/>
      <x:c r="B88" s="2"/>
      <x:c r="C88" s="2"/>
      <x:c r="D88" s="3"/>
      <x:c r="E88" s="3"/>
      <x:c r="F88" s="3"/>
      <x:c r="G88" s="3"/>
      <x:c r="H88" s="3"/>
      <x:c r="I88" s="3"/>
      <x:c r="J88" s="2"/>
      <x:c r="K88" s="2"/>
      <x:c r="L88" s="2"/>
      <x:c r="M88" s="2"/>
      <x:c r="N88" s="2"/>
      <x:c r="O88" s="2"/>
      <x:c r="P88" s="2"/>
      <x:c r="Q88" s="2"/>
    </x:row>
    <x:row r="89" ht="22" customHeight="1">
      <x:c r="A89" s="2"/>
      <x:c r="B89" s="2"/>
      <x:c r="C89" s="2"/>
      <x:c r="D89" s="3"/>
      <x:c r="E89" s="3"/>
      <x:c r="F89" s="3"/>
      <x:c r="G89" s="3"/>
      <x:c r="H89" s="3"/>
      <x:c r="I89" s="3"/>
      <x:c r="J89" s="2"/>
      <x:c r="K89" s="2"/>
      <x:c r="L89" s="2"/>
      <x:c r="M89" s="2"/>
      <x:c r="N89" s="2"/>
      <x:c r="O89" s="2"/>
      <x:c r="P89" s="2"/>
      <x:c r="Q89" s="2"/>
    </x:row>
    <x:row r="90" ht="22" customHeight="1">
      <x:c r="A90" s="2"/>
      <x:c r="B90" s="2"/>
      <x:c r="C90" s="2"/>
      <x:c r="D90" s="3"/>
      <x:c r="E90" s="3"/>
      <x:c r="F90" s="3"/>
      <x:c r="G90" s="3"/>
      <x:c r="H90" s="3"/>
      <x:c r="I90" s="3"/>
      <x:c r="J90" s="2"/>
      <x:c r="K90" s="2"/>
      <x:c r="L90" s="2"/>
      <x:c r="M90" s="2"/>
      <x:c r="N90" s="2"/>
      <x:c r="O90" s="2"/>
      <x:c r="P90" s="2"/>
      <x:c r="Q90" s="2"/>
    </x:row>
    <x:row r="91" ht="22" customHeight="1">
      <x:c r="A91" s="2"/>
      <x:c r="B91" s="2"/>
      <x:c r="C91" s="2"/>
      <x:c r="D91" s="3"/>
      <x:c r="E91" s="3"/>
      <x:c r="F91" s="3"/>
      <x:c r="G91" s="3"/>
      <x:c r="H91" s="3"/>
      <x:c r="I91" s="3"/>
      <x:c r="J91" s="2"/>
      <x:c r="K91" s="2"/>
      <x:c r="L91" s="2"/>
      <x:c r="M91" s="2"/>
      <x:c r="N91" s="2"/>
      <x:c r="O91" s="2"/>
      <x:c r="P91" s="2"/>
      <x:c r="Q91" s="2"/>
    </x:row>
    <x:row r="92" ht="22" customHeight="1">
      <x:c r="A92" s="2"/>
      <x:c r="B92" s="2"/>
      <x:c r="C92" s="2"/>
      <x:c r="D92" s="3"/>
      <x:c r="E92" s="3"/>
      <x:c r="F92" s="3"/>
      <x:c r="G92" s="3"/>
      <x:c r="H92" s="3"/>
      <x:c r="I92" s="3"/>
      <x:c r="J92" s="2"/>
      <x:c r="K92" s="2"/>
      <x:c r="L92" s="2"/>
      <x:c r="M92" s="2"/>
      <x:c r="N92" s="2"/>
      <x:c r="O92" s="2"/>
      <x:c r="P92" s="2"/>
      <x:c r="Q92" s="2"/>
    </x:row>
    <x:row r="93" ht="22" customHeight="1">
      <x:c r="A93" s="2"/>
      <x:c r="B93" s="2"/>
      <x:c r="C93" s="2"/>
      <x:c r="D93" s="3"/>
      <x:c r="E93" s="3"/>
      <x:c r="F93" s="3"/>
      <x:c r="G93" s="3"/>
      <x:c r="H93" s="3"/>
      <x:c r="I93" s="3"/>
      <x:c r="J93" s="2"/>
      <x:c r="K93" s="2"/>
      <x:c r="L93" s="2"/>
      <x:c r="M93" s="2"/>
      <x:c r="N93" s="2"/>
      <x:c r="O93" s="2"/>
      <x:c r="P93" s="2"/>
      <x:c r="Q93" s="2"/>
    </x:row>
    <x:row r="94" ht="22" customHeight="1">
      <x:c r="A94" s="2"/>
      <x:c r="B94" s="2"/>
      <x:c r="C94" s="2"/>
      <x:c r="D94" s="3"/>
      <x:c r="E94" s="3"/>
      <x:c r="F94" s="3"/>
      <x:c r="G94" s="3"/>
      <x:c r="H94" s="3"/>
      <x:c r="I94" s="3"/>
      <x:c r="J94" s="2"/>
      <x:c r="K94" s="2"/>
      <x:c r="L94" s="2"/>
      <x:c r="M94" s="2"/>
      <x:c r="N94" s="2"/>
      <x:c r="O94" s="2"/>
      <x:c r="P94" s="2"/>
      <x:c r="Q94" s="2"/>
    </x:row>
    <x:row r="95" ht="22" customHeight="1">
      <x:c r="A95" s="2"/>
      <x:c r="B95" s="2"/>
      <x:c r="C95" s="2"/>
      <x:c r="D95" s="3"/>
      <x:c r="E95" s="3"/>
      <x:c r="F95" s="3"/>
      <x:c r="G95" s="3"/>
      <x:c r="H95" s="3"/>
      <x:c r="I95" s="3"/>
      <x:c r="J95" s="2"/>
      <x:c r="K95" s="2"/>
      <x:c r="L95" s="2"/>
      <x:c r="M95" s="2"/>
      <x:c r="N95" s="2"/>
      <x:c r="O95" s="2"/>
      <x:c r="P95" s="2"/>
      <x:c r="Q95" s="2"/>
    </x:row>
    <x:row r="96" ht="22" customHeight="1">
      <x:c r="A96" s="2"/>
      <x:c r="B96" s="2"/>
      <x:c r="C96" s="2"/>
      <x:c r="D96" s="3"/>
      <x:c r="E96" s="3"/>
      <x:c r="F96" s="3"/>
      <x:c r="G96" s="3"/>
      <x:c r="H96" s="3"/>
      <x:c r="I96" s="3"/>
      <x:c r="J96" s="2"/>
      <x:c r="K96" s="2"/>
      <x:c r="L96" s="2"/>
      <x:c r="M96" s="2"/>
      <x:c r="N96" s="2"/>
      <x:c r="O96" s="2"/>
      <x:c r="P96" s="2"/>
      <x:c r="Q96" s="2"/>
    </x:row>
    <x:row r="97" ht="22" customHeight="1">
      <x:c r="A97" s="2"/>
      <x:c r="B97" s="2"/>
      <x:c r="C97" s="2"/>
      <x:c r="D97" s="3"/>
      <x:c r="E97" s="3"/>
      <x:c r="F97" s="3"/>
      <x:c r="G97" s="3"/>
      <x:c r="H97" s="3"/>
      <x:c r="I97" s="3"/>
      <x:c r="J97" s="2"/>
      <x:c r="K97" s="2"/>
      <x:c r="L97" s="2"/>
      <x:c r="M97" s="2"/>
      <x:c r="N97" s="2"/>
      <x:c r="O97" s="2"/>
      <x:c r="P97" s="2"/>
      <x:c r="Q97" s="2"/>
    </x:row>
    <x:row r="98" ht="22" customHeight="1">
      <x:c r="A98" s="2"/>
      <x:c r="B98" s="2"/>
      <x:c r="C98" s="2"/>
      <x:c r="D98" s="3"/>
      <x:c r="E98" s="3"/>
      <x:c r="F98" s="3"/>
      <x:c r="G98" s="3"/>
      <x:c r="H98" s="3"/>
      <x:c r="I98" s="3"/>
      <x:c r="J98" s="2"/>
      <x:c r="K98" s="2"/>
      <x:c r="L98" s="2"/>
      <x:c r="M98" s="2"/>
      <x:c r="N98" s="2"/>
      <x:c r="O98" s="2"/>
      <x:c r="P98" s="2"/>
      <x:c r="Q98" s="2"/>
    </x:row>
    <x:row r="99" ht="22" customHeight="1">
      <x:c r="A99" s="2"/>
      <x:c r="B99" s="2"/>
      <x:c r="C99" s="2"/>
      <x:c r="D99" s="3"/>
      <x:c r="E99" s="3"/>
      <x:c r="F99" s="3"/>
      <x:c r="G99" s="3"/>
      <x:c r="H99" s="3"/>
      <x:c r="I99" s="3"/>
      <x:c r="J99" s="2"/>
      <x:c r="K99" s="2"/>
      <x:c r="L99" s="2"/>
      <x:c r="M99" s="2"/>
      <x:c r="N99" s="2"/>
      <x:c r="O99" s="2"/>
      <x:c r="P99" s="2"/>
      <x:c r="Q99" s="2"/>
    </x:row>
    <x:row r="100" ht="22" customHeight="1">
      <x:c r="A100" s="2"/>
      <x:c r="B100" s="2"/>
      <x:c r="C100" s="2"/>
      <x:c r="D100" s="3"/>
      <x:c r="E100" s="3"/>
      <x:c r="F100" s="3"/>
      <x:c r="G100" s="3"/>
      <x:c r="H100" s="3"/>
      <x:c r="I100" s="3"/>
      <x:c r="J100" s="2"/>
      <x:c r="K100" s="2"/>
      <x:c r="L100" s="2"/>
      <x:c r="M100" s="2"/>
      <x:c r="N100" s="2"/>
      <x:c r="O100" s="2"/>
      <x:c r="P100" s="2"/>
      <x:c r="Q100" s="2"/>
    </x:row>
    <x:row r="101" ht="22" customHeight="1">
      <x:c r="A101" s="2"/>
      <x:c r="B101" s="2"/>
      <x:c r="C101" s="2"/>
      <x:c r="D101" s="3"/>
      <x:c r="E101" s="3"/>
      <x:c r="F101" s="3"/>
      <x:c r="G101" s="3"/>
      <x:c r="H101" s="3"/>
      <x:c r="I101" s="3"/>
      <x:c r="J101" s="2"/>
      <x:c r="K101" s="2"/>
      <x:c r="L101" s="2"/>
      <x:c r="M101" s="2"/>
      <x:c r="N101" s="2"/>
      <x:c r="O101" s="2"/>
      <x:c r="P101" s="2"/>
      <x:c r="Q101" s="2"/>
    </x:row>
    <x:row r="102" ht="22" customHeight="1">
      <x:c r="A102" s="2"/>
      <x:c r="B102" s="2"/>
      <x:c r="C102" s="2"/>
      <x:c r="D102" s="3"/>
      <x:c r="E102" s="3"/>
      <x:c r="F102" s="3"/>
      <x:c r="G102" s="3"/>
      <x:c r="H102" s="3"/>
      <x:c r="I102" s="3"/>
      <x:c r="J102" s="2"/>
      <x:c r="K102" s="2"/>
      <x:c r="L102" s="2"/>
      <x:c r="M102" s="2"/>
      <x:c r="N102" s="2"/>
      <x:c r="O102" s="2"/>
      <x:c r="P102" s="2"/>
      <x:c r="Q102" s="2"/>
    </x:row>
    <x:row r="103" ht="22" customHeight="1">
      <x:c r="A103" s="2"/>
      <x:c r="B103" s="2"/>
      <x:c r="C103" s="2"/>
      <x:c r="D103" s="3"/>
      <x:c r="E103" s="3"/>
      <x:c r="F103" s="3"/>
      <x:c r="G103" s="3"/>
      <x:c r="H103" s="3"/>
      <x:c r="I103" s="3"/>
      <x:c r="J103" s="2"/>
      <x:c r="K103" s="2"/>
      <x:c r="L103" s="2"/>
      <x:c r="M103" s="2"/>
      <x:c r="N103" s="2"/>
      <x:c r="O103" s="2"/>
      <x:c r="P103" s="2"/>
      <x:c r="Q103" s="2"/>
    </x:row>
    <x:row r="104" ht="22" customHeight="1">
      <x:c r="A104" s="2"/>
      <x:c r="B104" s="2"/>
      <x:c r="C104" s="2"/>
      <x:c r="D104" s="3"/>
      <x:c r="E104" s="3"/>
      <x:c r="F104" s="3"/>
      <x:c r="G104" s="3"/>
      <x:c r="H104" s="3"/>
      <x:c r="I104" s="3"/>
      <x:c r="J104" s="2"/>
      <x:c r="K104" s="2"/>
      <x:c r="L104" s="2"/>
      <x:c r="M104" s="2"/>
      <x:c r="N104" s="2"/>
      <x:c r="O104" s="2"/>
      <x:c r="P104" s="2"/>
      <x:c r="Q104" s="2"/>
    </x:row>
    <x:row r="105" ht="22" customHeight="1">
      <x:c r="A105" s="2"/>
      <x:c r="B105" s="2"/>
      <x:c r="C105" s="2"/>
      <x:c r="D105" s="3"/>
      <x:c r="E105" s="3"/>
      <x:c r="F105" s="3"/>
      <x:c r="G105" s="3"/>
      <x:c r="H105" s="3"/>
      <x:c r="I105" s="3"/>
      <x:c r="J105" s="2"/>
      <x:c r="K105" s="2"/>
      <x:c r="L105" s="2"/>
      <x:c r="M105" s="2"/>
      <x:c r="N105" s="2"/>
      <x:c r="O105" s="2"/>
      <x:c r="P105" s="2"/>
      <x:c r="Q105" s="2"/>
    </x:row>
    <x:row r="106" ht="22" customHeight="1">
      <x:c r="A106" s="2"/>
      <x:c r="B106" s="2"/>
      <x:c r="C106" s="2"/>
      <x:c r="D106" s="3"/>
      <x:c r="E106" s="3"/>
      <x:c r="F106" s="3"/>
      <x:c r="G106" s="3"/>
      <x:c r="H106" s="3"/>
      <x:c r="I106" s="3"/>
      <x:c r="J106" s="2"/>
      <x:c r="K106" s="2"/>
      <x:c r="L106" s="2"/>
      <x:c r="M106" s="2"/>
      <x:c r="N106" s="2"/>
      <x:c r="O106" s="2"/>
      <x:c r="P106" s="2"/>
      <x:c r="Q106" s="2"/>
    </x:row>
    <x:row r="107" ht="22" customHeight="1">
      <x:c r="A107" s="2"/>
      <x:c r="B107" s="2"/>
      <x:c r="C107" s="2"/>
      <x:c r="D107" s="3"/>
      <x:c r="E107" s="3"/>
      <x:c r="F107" s="3"/>
      <x:c r="G107" s="3"/>
      <x:c r="H107" s="3"/>
      <x:c r="I107" s="3"/>
      <x:c r="J107" s="2"/>
      <x:c r="K107" s="2"/>
      <x:c r="L107" s="2"/>
      <x:c r="M107" s="2"/>
      <x:c r="N107" s="2"/>
      <x:c r="O107" s="2"/>
      <x:c r="P107" s="2"/>
      <x:c r="Q107" s="2"/>
    </x:row>
    <x:row r="108" ht="22" customHeight="1">
      <x:c r="A108" s="2"/>
      <x:c r="B108" s="2"/>
      <x:c r="C108" s="2"/>
      <x:c r="D108" s="3"/>
      <x:c r="E108" s="3"/>
      <x:c r="F108" s="3"/>
      <x:c r="G108" s="3"/>
      <x:c r="H108" s="3"/>
      <x:c r="I108" s="3"/>
      <x:c r="J108" s="2"/>
      <x:c r="K108" s="2"/>
      <x:c r="L108" s="2"/>
      <x:c r="M108" s="2"/>
      <x:c r="N108" s="2"/>
      <x:c r="O108" s="2"/>
      <x:c r="P108" s="2"/>
      <x:c r="Q108" s="2"/>
    </x:row>
    <x:row r="109" ht="22" customHeight="1">
      <x:c r="A109" s="2"/>
      <x:c r="B109" s="2"/>
      <x:c r="C109" s="2"/>
      <x:c r="D109" s="3"/>
      <x:c r="E109" s="3"/>
      <x:c r="F109" s="3"/>
      <x:c r="G109" s="3"/>
      <x:c r="H109" s="3"/>
      <x:c r="I109" s="3"/>
      <x:c r="J109" s="2"/>
      <x:c r="K109" s="2"/>
      <x:c r="L109" s="2"/>
      <x:c r="M109" s="2"/>
      <x:c r="N109" s="2"/>
      <x:c r="O109" s="2"/>
      <x:c r="P109" s="2"/>
      <x:c r="Q109" s="2"/>
    </x:row>
    <x:row r="110" ht="22" customHeight="1">
      <x:c r="A110" s="2"/>
      <x:c r="B110" s="2"/>
      <x:c r="C110" s="2"/>
      <x:c r="D110" s="3"/>
      <x:c r="E110" s="3"/>
      <x:c r="F110" s="3"/>
      <x:c r="G110" s="3"/>
      <x:c r="H110" s="3"/>
      <x:c r="I110" s="3"/>
      <x:c r="J110" s="2"/>
      <x:c r="K110" s="2"/>
      <x:c r="L110" s="2"/>
      <x:c r="M110" s="2"/>
      <x:c r="N110" s="2"/>
      <x:c r="O110" s="2"/>
      <x:c r="P110" s="2"/>
      <x:c r="Q110" s="2"/>
    </x:row>
    <x:row r="111" ht="22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 ht="22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 ht="22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 ht="22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 ht="22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 ht="22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 ht="22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 ht="22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 ht="22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 ht="22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3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2" customHeight="1">
      <x:c r="A2" s="2"/>
      <x:c r="B2" s="2"/>
      <x:c r="C2" s="4" t="str">
        <x:v>Valuation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</x:row>
    <x:row r="3" ht="22" customHeight="1">
      <x:c r="A3" s="2"/>
      <x:c r="B3" s="2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</x:row>
    <x:row r="4" ht="22" customHeight="1">
      <x:c r="A4" s="2"/>
      <x:c r="B4" s="2"/>
      <x:c r="C4" s="2" t="str">
        <x:v>USD millions | FY2025 historical; 2026–2030 forecast</x:v>
      </x:c>
      <x:c r="D4" s="2"/>
      <x:c r="E4" s="2"/>
      <x:c r="F4" s="2"/>
      <x:c r="G4" s="2"/>
      <x:c r="H4" s="2"/>
      <x:c r="I4" s="2"/>
      <x:c r="J4" s="2"/>
      <x:c r="K4" s="2" t="str">
        <x:v>Case Selected:</x:v>
      </x:c>
      <x:c r="L4" s="8" t="str">
        <x:f>CHOOSE(Assumptions!$D$5,"Base","Upside","Downside")</x:f>
        <x:v>Base</x:v>
      </x:c>
      <x:c r="M4" s="2"/>
      <x:c r="N4" s="2"/>
      <x:c r="O4" s="2"/>
      <x:c r="P4" s="2"/>
      <x:c r="Q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2" customHeight="1">
      <x:c r="A6" s="2"/>
      <x:c r="B6" s="2"/>
      <x:c r="C6" s="13" t="str">
        <x:v>Investor cash flows | annual periods</x:v>
      </x:c>
      <x:c r="D6" s="14"/>
      <x:c r="E6" s="14"/>
      <x:c r="F6" s="14"/>
      <x:c r="G6" s="14"/>
      <x:c r="H6" s="14"/>
      <x:c r="I6" s="14"/>
      <x:c r="J6" s="2"/>
      <x:c r="K6" s="2"/>
      <x:c r="L6" s="2"/>
      <x:c r="M6" s="2"/>
      <x:c r="N6" s="2"/>
      <x:c r="O6" s="2"/>
      <x:c r="P6" s="2"/>
      <x:c r="Q6" s="2"/>
    </x:row>
    <x:row r="7" ht="22" customHeight="1">
      <x:c r="A7" s="2"/>
      <x:c r="B7" s="2"/>
      <x:c r="C7" s="2"/>
      <x:c r="D7" s="3" t="str">
        <x:v>Closing</x:v>
      </x:c>
      <x:c r="E7" s="48" t="n">
        <x:v>2026</x:v>
      </x:c>
      <x:c r="F7" s="48" t="n">
        <x:v>2027</x:v>
      </x:c>
      <x:c r="G7" s="48" t="n">
        <x:v>2028</x:v>
      </x:c>
      <x:c r="H7" s="48" t="n">
        <x:v>2029</x:v>
      </x:c>
      <x:c r="I7" s="48" t="n">
        <x:v>2030</x:v>
      </x:c>
      <x:c r="J7" s="2"/>
      <x:c r="K7" s="2" t="str">
        <x:v>Entry multiple</x:v>
      </x:c>
      <x:c r="L7" s="33" t="n">
        <x:v>10.5</x:v>
      </x:c>
      <x:c r="M7" s="2"/>
      <x:c r="N7" s="2"/>
      <x:c r="O7" s="2"/>
      <x:c r="P7" s="2"/>
      <x:c r="Q7" s="2"/>
    </x:row>
    <x:row r="8" ht="22" customHeight="1">
      <x:c r="A8" s="2"/>
      <x:c r="B8" s="2"/>
      <x:c r="C8" s="2"/>
      <x:c r="D8" s="26" t="n">
        <x:f>-Transaction!D15</x:f>
        <x:v>-3881.8900000000003</x:v>
      </x:c>
      <x:c r="E8" s="26" t="n">
        <x:f>Debt!D28</x:f>
        <x:v>0</x:v>
      </x:c>
      <x:c r="F8" s="26" t="n">
        <x:f>Debt!E28</x:f>
        <x:v>0</x:v>
      </x:c>
      <x:c r="G8" s="26" t="n">
        <x:f>Debt!F28</x:f>
        <x:v>0</x:v>
      </x:c>
      <x:c r="H8" s="26" t="n">
        <x:f>Debt!G28</x:f>
        <x:v>0</x:v>
      </x:c>
      <x:c r="I8" s="26" t="n">
        <x:f>Debt!H28+$D$13</x:f>
        <x:v>6898.851030461792</x:v>
      </x:c>
      <x:c r="J8" s="2"/>
      <x:c r="K8" s="2" t="str">
        <x:v>Exit multiple</x:v>
      </x:c>
      <x:c r="L8" s="33" t="n">
        <x:v>10.5</x:v>
      </x:c>
      <x:c r="M8" s="2"/>
      <x:c r="N8" s="2"/>
      <x:c r="O8" s="2"/>
      <x:c r="P8" s="2"/>
      <x:c r="Q8" s="2"/>
    </x:row>
    <x:row r="9" ht="22" customHeight="1">
      <x:c r="A9" s="2"/>
      <x:c r="B9" s="2"/>
      <x:c r="C9" s="2"/>
      <x:c r="D9" s="3"/>
      <x:c r="E9" s="3"/>
      <x:c r="F9" s="3"/>
      <x:c r="G9" s="3"/>
      <x:c r="H9" s="3"/>
      <x:c r="I9" s="3"/>
      <x:c r="J9" s="2"/>
      <x:c r="K9" s="2"/>
      <x:c r="L9" s="2"/>
      <x:c r="M9" s="2"/>
      <x:c r="N9" s="2"/>
      <x:c r="O9" s="2"/>
      <x:c r="P9" s="2"/>
      <x:c r="Q9" s="2"/>
    </x:row>
    <x:row r="10" ht="22" customHeight="1">
      <x:c r="A10" s="2"/>
      <x:c r="B10" s="2"/>
      <x:c r="C10" s="2" t="str">
        <x:v>Five-year sponsor IRR</x:v>
      </x:c>
      <x:c r="D10" s="35" t="n">
        <x:f>IRR(D8:I8)</x:f>
        <x:v>0.12188078189640769</x:v>
      </x:c>
      <x:c r="E10" s="3"/>
      <x:c r="F10" s="3"/>
      <x:c r="G10" s="3"/>
      <x:c r="H10" s="3"/>
      <x:c r="I10" s="3"/>
      <x:c r="J10" s="2"/>
      <x:c r="K10" s="2"/>
      <x:c r="L10" s="2"/>
      <x:c r="M10" s="2"/>
      <x:c r="N10" s="2"/>
      <x:c r="O10" s="2"/>
      <x:c r="P10" s="2"/>
      <x:c r="Q10" s="2"/>
    </x:row>
    <x:row r="11" ht="22" customHeight="1">
      <x:c r="A11" s="2"/>
      <x:c r="B11" s="2"/>
      <x:c r="C11" s="2" t="str">
        <x:v>Equity MOIC</x:v>
      </x:c>
      <x:c r="D11" s="30" t="n">
        <x:f>D13/(Transaction!D15+SUM(Debt!D16:H16))</x:f>
        <x:v>1.7771886968620418</x:v>
      </x:c>
      <x:c r="E11" s="3"/>
      <x:c r="F11" s="3"/>
      <x:c r="G11" s="3"/>
      <x:c r="H11" s="3"/>
      <x:c r="I11" s="3"/>
      <x:c r="J11" s="2"/>
      <x:c r="K11" s="2" t="str">
        <x:v>IRR | entry across / exit down</x:v>
      </x:c>
      <x:c r="L11" s="2"/>
      <x:c r="M11" s="2"/>
      <x:c r="N11" s="2"/>
      <x:c r="O11" s="2"/>
      <x:c r="P11" s="2"/>
      <x:c r="Q11" s="2"/>
    </x:row>
    <x:row r="12" ht="22" customHeight="1">
      <x:c r="A12" s="2"/>
      <x:c r="B12" s="2"/>
      <x:c r="C12" s="2" t="str">
        <x:v>Exit enterprise value</x:v>
      </x:c>
      <x:c r="D12" s="26" t="n">
        <x:f>Operating!H15*$L$8</x:f>
        <x:v>8303.638069773333</x:v>
      </x:c>
      <x:c r="E12" s="3"/>
      <x:c r="F12" s="3"/>
      <x:c r="G12" s="3"/>
      <x:c r="H12" s="3"/>
      <x:c r="I12" s="3"/>
      <x:c r="J12" s="2"/>
      <x:c r="K12" s="39" t="n">
        <x:f>D10</x:f>
        <x:v>0.12188078189640769</x:v>
      </x:c>
      <x:c r="L12" s="15" t="n">
        <x:v>9.5</x:v>
      </x:c>
      <x:c r="M12" s="15" t="n">
        <x:v>10</x:v>
      </x:c>
      <x:c r="N12" s="15" t="n">
        <x:v>10.5</x:v>
      </x:c>
      <x:c r="O12" s="15" t="n">
        <x:v>11</x:v>
      </x:c>
      <x:c r="P12" s="15" t="n">
        <x:v>11.5</x:v>
      </x:c>
      <x:c r="Q12" s="2"/>
    </x:row>
    <x:row r="13" ht="22" customHeight="1">
      <x:c r="A13" s="2"/>
      <x:c r="B13" s="2"/>
      <x:c r="C13" s="2" t="str">
        <x:v>Exit equity proceeds</x:v>
      </x:c>
      <x:c r="D13" s="26" t="n">
        <x:f>MAX(D12+Debt!H23-Debt!H22,0)</x:f>
        <x:v>6898.851030461792</x:v>
      </x:c>
      <x:c r="E13" s="3"/>
      <x:c r="F13" s="3"/>
      <x:c r="G13" s="3"/>
      <x:c r="H13" s="3"/>
      <x:c r="I13" s="3"/>
      <x:c r="J13" s="2"/>
      <x:c r="K13" s="15" t="n">
        <x:v>8.5</x:v>
      </x:c>
      <x:c r="L13" s="38" t="n">
        <x:f t="dataTable" ref="L13:P17" dt2D="1" r1="L7" r2="L8"/>
        <x:v>0.1013460126482</x:v>
      </x:c>
      <x:c r="M13" s="38" t="n">
        <x:v>0.0821728271152</x:v>
      </x:c>
      <x:c r="N13" s="38" t="n">
        <x:v>0.0649471291326</x:v>
      </x:c>
      <x:c r="O13" s="38" t="n">
        <x:v>0.0493404781045</x:v>
      </x:c>
      <x:c r="P13" s="38" t="n">
        <x:v>0.0350991666806</x:v>
      </x:c>
      <x:c r="Q13" s="2"/>
    </x:row>
    <x:row r="14" ht="22" customHeight="1">
      <x:c r="A14" s="2"/>
      <x:c r="B14" s="2"/>
      <x:c r="C14" s="2"/>
      <x:c r="D14" s="3"/>
      <x:c r="E14" s="3"/>
      <x:c r="F14" s="3"/>
      <x:c r="G14" s="3"/>
      <x:c r="H14" s="3"/>
      <x:c r="I14" s="3"/>
      <x:c r="J14" s="2"/>
      <x:c r="K14" s="15" t="n">
        <x:v>9.5</x:v>
      </x:c>
      <x:c r="L14" s="38" t="n">
        <x:v>0.1325014553957</x:v>
      </x:c>
      <x:c r="M14" s="38" t="n">
        <x:v>0.1126940605686</x:v>
      </x:c>
      <x:c r="N14" s="38" t="n">
        <x:v>0.0948927095168</x:v>
      </x:c>
      <x:c r="O14" s="38" t="n">
        <x:v>0.0787592299337</x:v>
      </x:c>
      <x:c r="P14" s="38" t="n">
        <x:v>0.064032387018</x:v>
      </x:c>
      <x:c r="Q14" s="2"/>
    </x:row>
    <x:row r="15" ht="22" customHeight="1">
      <x:c r="A15" s="2"/>
      <x:c r="B15" s="2"/>
      <x:c r="C15" s="2"/>
      <x:c r="D15" s="3"/>
      <x:c r="E15" s="3"/>
      <x:c r="F15" s="3"/>
      <x:c r="G15" s="3"/>
      <x:c r="H15" s="3"/>
      <x:c r="I15" s="3"/>
      <x:c r="J15" s="2"/>
      <x:c r="K15" s="15" t="n">
        <x:v>10.5</x:v>
      </x:c>
      <x:c r="L15" s="38" t="n">
        <x:v>0.1605636299306</x:v>
      </x:c>
      <x:c r="M15" s="38" t="n">
        <x:v>0.140192984186</x:v>
      </x:c>
      <x:c r="N15" s="38" t="n">
        <x:v>0.1218807818964</x:v>
      </x:c>
      <x:c r="O15" s="38" t="n">
        <x:v>0.1052801258636</x:v>
      </x:c>
      <x:c r="P15" s="38" t="n">
        <x:v>0.090123034465</x:v>
      </x:c>
      <x:c r="Q15" s="2"/>
    </x:row>
    <x:row r="16" ht="22" customHeight="1">
      <x:c r="A16" s="2"/>
      <x:c r="B16" s="2"/>
      <x:c r="C16" s="2" t="str">
        <x:v>DCF enterprise value</x:v>
      </x:c>
      <x:c r="D16" s="26" t="n">
        <x:f>SUM(D21:H21)+H20*(1+Assumptions!$D$21)/(Assumptions!$D$20-Assumptions!$D$21)/(1+Assumptions!$D$20)^5</x:f>
        <x:v>5917.38322698427</x:v>
      </x:c>
      <x:c r="E16" s="3"/>
      <x:c r="F16" s="3"/>
      <x:c r="G16" s="3"/>
      <x:c r="H16" s="3"/>
      <x:c r="I16" s="3"/>
      <x:c r="J16" s="2"/>
      <x:c r="K16" s="15" t="n">
        <x:v>11.5</x:v>
      </x:c>
      <x:c r="L16" s="38" t="n">
        <x:v>0.1861480031663</x:v>
      </x:c>
      <x:c r="M16" s="38" t="n">
        <x:v>0.1652695316838</x:v>
      </x:c>
      <x:c r="N16" s="38" t="n">
        <x:v>0.1464970389587</x:v>
      </x:c>
      <x:c r="O16" s="38" t="n">
        <x:v>0.1294757020824</x:v>
      </x:c>
      <x:c r="P16" s="38" t="n">
        <x:v>0.1139314107961</x:v>
      </x:c>
      <x:c r="Q16" s="2"/>
    </x:row>
    <x:row r="17" ht="22" customHeight="1">
      <x:c r="A17" s="2"/>
      <x:c r="B17" s="2"/>
      <x:c r="C17" s="2" t="str">
        <x:v>DCF equity value</x:v>
      </x:c>
      <x:c r="D17" s="26" t="n">
        <x:f>D16+Historical!$D$48-Historical!$D$63</x:f>
        <x:v>2293.3832269842696</x:v>
      </x:c>
      <x:c r="E17" s="3"/>
      <x:c r="F17" s="3"/>
      <x:c r="G17" s="3"/>
      <x:c r="H17" s="3"/>
      <x:c r="I17" s="3"/>
      <x:c r="J17" s="2"/>
      <x:c r="K17" s="15" t="n">
        <x:v>12.5</x:v>
      </x:c>
      <x:c r="L17" s="38" t="n">
        <x:v>0.2096983415762</x:v>
      </x:c>
      <x:c r="M17" s="38" t="n">
        <x:v>0.1883566251913</x:v>
      </x:c>
      <x:c r="N17" s="38" t="n">
        <x:v>0.1691644716394</x:v>
      </x:c>
      <x:c r="O17" s="38" t="n">
        <x:v>0.151759783731</x:v>
      </x:c>
      <x:c r="P17" s="38" t="n">
        <x:v>0.1358628261446</x:v>
      </x:c>
      <x:c r="Q17" s="2"/>
    </x:row>
    <x:row r="18" ht="22" customHeight="1">
      <x:c r="A18" s="2"/>
      <x:c r="B18" s="2"/>
      <x:c r="C18" s="2" t="str">
        <x:v>DCF equity value per share</x:v>
      </x:c>
      <x:c r="D18" s="55" t="n">
        <x:f>D17/Historical!$D$65</x:f>
        <x:v>11.472590133823834</x:v>
      </x:c>
      <x:c r="E18" s="3"/>
      <x:c r="F18" s="3"/>
      <x:c r="G18" s="3"/>
      <x:c r="H18" s="3"/>
      <x:c r="I18" s="3"/>
      <x:c r="J18" s="2"/>
      <x:c r="K18" s="2"/>
      <x:c r="L18" s="2"/>
      <x:c r="M18" s="2"/>
      <x:c r="N18" s="2"/>
      <x:c r="O18" s="2"/>
      <x:c r="P18" s="2"/>
      <x:c r="Q18" s="2"/>
    </x:row>
    <x:row r="19" ht="22" customHeight="1">
      <x:c r="A19" s="2"/>
      <x:c r="B19" s="2"/>
      <x:c r="C19" s="2"/>
      <x:c r="D19" s="48" t="n">
        <x:v>2026</x:v>
      </x:c>
      <x:c r="E19" s="48" t="n">
        <x:v>2027</x:v>
      </x:c>
      <x:c r="F19" s="48" t="n">
        <x:v>2028</x:v>
      </x:c>
      <x:c r="G19" s="48" t="n">
        <x:v>2029</x:v>
      </x:c>
      <x:c r="H19" s="48" t="n">
        <x:v>2030</x:v>
      </x:c>
      <x:c r="I19" s="3"/>
      <x:c r="J19" s="2"/>
      <x:c r="K19" s="2"/>
      <x:c r="L19" s="2"/>
      <x:c r="M19" s="2"/>
      <x:c r="N19" s="2"/>
      <x:c r="O19" s="2"/>
      <x:c r="P19" s="2"/>
      <x:c r="Q19" s="2"/>
    </x:row>
    <x:row r="20" ht="22" customHeight="1">
      <x:c r="A20" s="2"/>
      <x:c r="B20" s="2"/>
      <x:c r="C20" s="2" t="str">
        <x:v>Unlevered free cash flow</x:v>
      </x:c>
      <x:c r="D20" s="26" t="n">
        <x:f>Operating!D28</x:f>
        <x:v>263.44443333333334</x:v>
      </x:c>
      <x:c r="E20" s="26" t="n">
        <x:f>Operating!E28</x:f>
        <x:v>353.63735441666665</x:v>
      </x:c>
      <x:c r="F20" s="26" t="n">
        <x:f>Operating!F28</x:f>
        <x:v>426.8367873209635</x:v>
      </x:c>
      <x:c r="G20" s="26" t="n">
        <x:f>Operating!G28</x:f>
        <x:v>463.5022369190325</x:v>
      </x:c>
      <x:c r="H20" s="26" t="n">
        <x:f>Operating!H28</x:f>
        <x:v>476.4478265306789</x:v>
      </x:c>
      <x:c r="I20" s="3"/>
      <x:c r="J20" s="2"/>
      <x:c r="K20" s="2"/>
      <x:c r="L20" s="2"/>
      <x:c r="M20" s="2"/>
      <x:c r="N20" s="2"/>
      <x:c r="O20" s="2"/>
      <x:c r="P20" s="2"/>
      <x:c r="Q20" s="2"/>
    </x:row>
    <x:row r="21" ht="22" customHeight="1">
      <x:c r="A21" s="2"/>
      <x:c r="B21" s="2"/>
      <x:c r="C21" s="2" t="str">
        <x:v>Present value</x:v>
      </x:c>
      <x:c r="D21" s="26" t="n">
        <x:f>D20/(1+Assumptions!$D$20)^1</x:f>
        <x:v>240.58852359208524</x:v>
      </x:c>
      <x:c r="E21" s="26" t="n">
        <x:f>E20/(1+Assumptions!$D$20)^2</x:f>
        <x:v>294.9374320107309</x:v>
      </x:c>
      <x:c r="F21" s="26" t="n">
        <x:f>F20/(1+Assumptions!$D$20)^3</x:f>
        <x:v>325.1018829670976</x:v>
      </x:c>
      <x:c r="G21" s="26" t="n">
        <x:f>G20/(1+Assumptions!$D$20)^4</x:f>
        <x:v>322.40024097304195</x:v>
      </x:c>
      <x:c r="H21" s="26" t="n">
        <x:f>H20/(1+Assumptions!$D$20)^5</x:f>
        <x:v>302.6528404757005</x:v>
      </x:c>
      <x:c r="I21" s="3"/>
      <x:c r="J21" s="2"/>
      <x:c r="K21" s="2"/>
      <x:c r="L21" s="2"/>
      <x:c r="M21" s="2"/>
      <x:c r="N21" s="2"/>
      <x:c r="O21" s="2"/>
      <x:c r="P21" s="2"/>
      <x:c r="Q21" s="2"/>
    </x:row>
    <x:row r="22" ht="22" customHeight="1">
      <x:c r="A22" s="2"/>
      <x:c r="B22" s="2"/>
      <x:c r="C22" s="2"/>
      <x:c r="D22" s="3"/>
      <x:c r="E22" s="3"/>
      <x:c r="F22" s="3"/>
      <x:c r="G22" s="3"/>
      <x:c r="H22" s="3"/>
      <x:c r="I22" s="3"/>
      <x:c r="J22" s="2"/>
      <x:c r="K22" s="2"/>
      <x:c r="L22" s="2"/>
      <x:c r="M22" s="2"/>
      <x:c r="N22" s="2"/>
      <x:c r="O22" s="2"/>
      <x:c r="P22" s="2"/>
      <x:c r="Q22" s="2"/>
    </x:row>
    <x:row r="23" ht="22" customHeight="1">
      <x:c r="A23" s="2"/>
      <x:c r="B23" s="2"/>
      <x:c r="C23" s="2"/>
      <x:c r="D23" s="3"/>
      <x:c r="E23" s="3"/>
      <x:c r="F23" s="3"/>
      <x:c r="G23" s="3"/>
      <x:c r="H23" s="3"/>
      <x:c r="I23" s="3"/>
      <x:c r="J23" s="2"/>
      <x:c r="K23" s="2"/>
      <x:c r="L23" s="2"/>
      <x:c r="M23" s="2"/>
      <x:c r="N23" s="2"/>
      <x:c r="O23" s="2"/>
      <x:c r="P23" s="2"/>
      <x:c r="Q23" s="2"/>
    </x:row>
    <x:row r="24" ht="22" customHeight="1">
      <x:c r="A24" s="2"/>
      <x:c r="B24" s="2"/>
      <x:c r="C24" s="2"/>
      <x:c r="D24" s="3"/>
      <x:c r="E24" s="3"/>
      <x:c r="F24" s="3"/>
      <x:c r="G24" s="3"/>
      <x:c r="H24" s="3"/>
      <x:c r="I24" s="3"/>
      <x:c r="J24" s="2"/>
      <x:c r="K24" s="2"/>
      <x:c r="L24" s="2"/>
      <x:c r="M24" s="2"/>
      <x:c r="N24" s="2"/>
      <x:c r="O24" s="2"/>
      <x:c r="P24" s="2"/>
      <x:c r="Q24" s="2"/>
    </x:row>
    <x:row r="25" ht="22" customHeight="1">
      <x:c r="A25" s="2"/>
      <x:c r="B25" s="2"/>
      <x:c r="C25" s="2" t="str">
        <x:v>Initial sponsor equity</x:v>
      </x:c>
      <x:c r="D25" s="26" t="n">
        <x:f>Transaction!D15</x:f>
        <x:v>3881.8900000000003</x:v>
      </x:c>
      <x:c r="E25" s="3"/>
      <x:c r="F25" s="3"/>
      <x:c r="G25" s="3"/>
      <x:c r="H25" s="3"/>
      <x:c r="I25" s="3"/>
      <x:c r="J25" s="2"/>
      <x:c r="K25" s="2"/>
      <x:c r="L25" s="2"/>
      <x:c r="M25" s="2"/>
      <x:c r="N25" s="2"/>
      <x:c r="O25" s="2"/>
      <x:c r="P25" s="2"/>
      <x:c r="Q25" s="2"/>
    </x:row>
    <x:row r="26" ht="22" customHeight="1">
      <x:c r="A26" s="2"/>
      <x:c r="B26" s="2"/>
      <x:c r="C26" s="2" t="str">
        <x:v>EBITDA growth at entry multiple</x:v>
      </x:c>
      <x:c r="D26" s="26" t="n">
        <x:f>(Operating!H15-Historical!$D$66)*$L$7</x:f>
        <x:v>1909.1380697733334</x:v>
      </x:c>
      <x:c r="E26" s="3"/>
      <x:c r="F26" s="3"/>
      <x:c r="G26" s="3"/>
      <x:c r="H26" s="3"/>
      <x:c r="I26" s="3"/>
      <x:c r="J26" s="2"/>
      <x:c r="K26" s="2"/>
      <x:c r="L26" s="2"/>
      <x:c r="M26" s="2"/>
      <x:c r="N26" s="2"/>
      <x:c r="O26" s="2"/>
      <x:c r="P26" s="2"/>
      <x:c r="Q26" s="2"/>
    </x:row>
    <x:row r="27" ht="22" customHeight="1">
      <x:c r="A27" s="2"/>
      <x:c r="B27" s="2"/>
      <x:c r="C27" s="2" t="str">
        <x:v>Exit multiple change</x:v>
      </x:c>
      <x:c r="D27" s="26" t="n">
        <x:f>Operating!H15*($L$8-$L$7)</x:f>
        <x:v>0</x:v>
      </x:c>
      <x:c r="E27" s="3"/>
      <x:c r="F27" s="3"/>
      <x:c r="G27" s="3"/>
      <x:c r="H27" s="3"/>
      <x:c r="I27" s="3"/>
      <x:c r="J27" s="2"/>
      <x:c r="K27" s="2"/>
      <x:c r="L27" s="2"/>
      <x:c r="M27" s="2"/>
      <x:c r="N27" s="2"/>
      <x:c r="O27" s="2"/>
      <x:c r="P27" s="2"/>
      <x:c r="Q27" s="2"/>
    </x:row>
    <x:row r="28" ht="22" customHeight="1">
      <x:c r="A28" s="2"/>
      <x:c r="B28" s="2"/>
      <x:c r="C28" s="2" t="str">
        <x:v>Debt repayment</x:v>
      </x:c>
      <x:c r="D28" s="26" t="n">
        <x:f>Transaction!D13+Transaction!D14-Debt!H22</x:f>
        <x:v>1131.1326367638162</x:v>
      </x:c>
      <x:c r="E28" s="3"/>
      <x:c r="F28" s="3"/>
      <x:c r="G28" s="3"/>
      <x:c r="H28" s="3"/>
      <x:c r="I28" s="3"/>
      <x:c r="J28" s="2"/>
      <x:c r="K28" s="2"/>
      <x:c r="L28" s="2"/>
      <x:c r="M28" s="2"/>
      <x:c r="N28" s="2"/>
      <x:c r="O28" s="2"/>
      <x:c r="P28" s="2"/>
      <x:c r="Q28" s="2"/>
    </x:row>
    <x:row r="29" ht="22" customHeight="1">
      <x:c r="A29" s="2"/>
      <x:c r="B29" s="2"/>
      <x:c r="C29" s="2" t="str">
        <x:v>Cash accumulation</x:v>
      </x:c>
      <x:c r="D29" s="26" t="n">
        <x:f>Debt!H23-Transaction!D10</x:f>
        <x:v>104.58032392464384</x:v>
      </x:c>
      <x:c r="E29" s="3"/>
      <x:c r="F29" s="3"/>
      <x:c r="G29" s="3"/>
      <x:c r="H29" s="3"/>
      <x:c r="I29" s="3"/>
      <x:c r="J29" s="2"/>
      <x:c r="K29" s="2"/>
      <x:c r="L29" s="2"/>
      <x:c r="M29" s="2"/>
      <x:c r="N29" s="2"/>
      <x:c r="O29" s="2"/>
      <x:c r="P29" s="2"/>
      <x:c r="Q29" s="2"/>
    </x:row>
    <x:row r="30" ht="22" customHeight="1">
      <x:c r="A30" s="2"/>
      <x:c r="B30" s="2"/>
      <x:c r="C30" s="2" t="str">
        <x:v>Transaction fees</x:v>
      </x:c>
      <x:c r="D30" s="26" t="n">
        <x:f>-Transaction!D9</x:f>
        <x:v>-127.89</x:v>
      </x:c>
      <x:c r="E30" s="3"/>
      <x:c r="F30" s="3"/>
      <x:c r="G30" s="3"/>
      <x:c r="H30" s="3"/>
      <x:c r="I30" s="3"/>
      <x:c r="J30" s="2"/>
      <x:c r="K30" s="2"/>
      <x:c r="L30" s="2"/>
      <x:c r="M30" s="2"/>
      <x:c r="N30" s="2"/>
      <x:c r="O30" s="2"/>
      <x:c r="P30" s="2"/>
      <x:c r="Q30" s="2"/>
    </x:row>
    <x:row r="31" ht="22" customHeight="1">
      <x:c r="A31" s="2"/>
      <x:c r="B31" s="2"/>
      <x:c r="C31" s="2" t="str">
        <x:v>Exit equity bridge total</x:v>
      </x:c>
      <x:c r="D31" s="27" t="n">
        <x:f>SUM(D25:D30)</x:f>
        <x:v>6898.851030461793</x:v>
      </x:c>
      <x:c r="E31" s="3"/>
      <x:c r="F31" s="3"/>
      <x:c r="G31" s="3"/>
      <x:c r="H31" s="3"/>
      <x:c r="I31" s="3"/>
      <x:c r="J31" s="2"/>
      <x:c r="K31" s="2"/>
      <x:c r="L31" s="2"/>
      <x:c r="M31" s="2"/>
      <x:c r="N31" s="2"/>
      <x:c r="O31" s="2"/>
      <x:c r="P31" s="2"/>
      <x:c r="Q31" s="2"/>
    </x:row>
    <x:row r="32" ht="22" customHeight="1">
      <x:c r="A32" s="2"/>
      <x:c r="B32" s="2"/>
      <x:c r="C32" s="2" t="str">
        <x:v>Bridge difference</x:v>
      </x:c>
      <x:c r="D32" s="27" t="n">
        <x:f>D31-D13</x:f>
        <x:v>9.094947017729282e-13</x:v>
      </x:c>
      <x:c r="E32" s="3"/>
      <x:c r="F32" s="3"/>
      <x:c r="G32" s="3"/>
      <x:c r="H32" s="3"/>
      <x:c r="I32" s="3"/>
      <x:c r="J32" s="2"/>
      <x:c r="K32" s="2"/>
      <x:c r="L32" s="2"/>
      <x:c r="M32" s="2"/>
      <x:c r="N32" s="2"/>
      <x:c r="O32" s="2"/>
      <x:c r="P32" s="2"/>
      <x:c r="Q32" s="2"/>
    </x:row>
    <x:row r="33" ht="22" customHeight="1">
      <x:c r="A33" s="2"/>
      <x:c r="B33" s="2"/>
      <x:c r="C33" s="2"/>
      <x:c r="D33" s="3"/>
      <x:c r="E33" s="3"/>
      <x:c r="F33" s="3"/>
      <x:c r="G33" s="3"/>
      <x:c r="H33" s="3"/>
      <x:c r="I33" s="3"/>
      <x:c r="J33" s="2"/>
      <x:c r="K33" s="2"/>
      <x:c r="L33" s="2"/>
      <x:c r="M33" s="2"/>
      <x:c r="N33" s="2"/>
      <x:c r="O33" s="2"/>
      <x:c r="P33" s="2"/>
      <x:c r="Q33" s="2"/>
    </x:row>
    <x:row r="34" ht="22" customHeight="1">
      <x:c r="A34" s="2"/>
      <x:c r="B34" s="2"/>
      <x:c r="C34" s="2"/>
      <x:c r="D34" s="3"/>
      <x:c r="E34" s="3"/>
      <x:c r="F34" s="3"/>
      <x:c r="G34" s="3"/>
      <x:c r="H34" s="3"/>
      <x:c r="I34" s="3"/>
      <x:c r="J34" s="2"/>
      <x:c r="K34" s="2"/>
      <x:c r="L34" s="2"/>
      <x:c r="M34" s="2"/>
      <x:c r="N34" s="2"/>
      <x:c r="O34" s="2"/>
      <x:c r="P34" s="2"/>
      <x:c r="Q34" s="2"/>
    </x:row>
    <x:row r="35" ht="22" customHeight="1">
      <x:c r="A35" s="2"/>
      <x:c r="B35" s="2"/>
      <x:c r="C35" s="19" t="str">
        <x:v>IRR includes downside equity calls. The bridge includes their cash effect, not an investment gain.</x:v>
      </x:c>
      <x:c r="D35" s="20"/>
      <x:c r="E35" s="20"/>
      <x:c r="F35" s="20"/>
      <x:c r="G35" s="20"/>
      <x:c r="H35" s="20"/>
      <x:c r="I35" s="20"/>
      <x:c r="J35" s="19"/>
      <x:c r="K35" s="19"/>
      <x:c r="L35" s="19"/>
      <x:c r="M35" s="19"/>
      <x:c r="N35" s="2"/>
      <x:c r="O35" s="2"/>
      <x:c r="P35" s="2"/>
      <x:c r="Q35" s="2"/>
    </x:row>
    <x:row r="36" ht="22" customHeight="1">
      <x:c r="A36" s="2"/>
      <x:c r="B36" s="2"/>
      <x:c r="C36" s="2"/>
      <x:c r="D36" s="3"/>
      <x:c r="E36" s="3"/>
      <x:c r="F36" s="3"/>
      <x:c r="G36" s="3"/>
      <x:c r="H36" s="3"/>
      <x:c r="I36" s="3"/>
      <x:c r="J36" s="2"/>
      <x:c r="K36" s="2"/>
      <x:c r="L36" s="2"/>
      <x:c r="M36" s="2"/>
      <x:c r="N36" s="2"/>
      <x:c r="O36" s="2"/>
      <x:c r="P36" s="2"/>
      <x:c r="Q36" s="2"/>
    </x:row>
    <x:row r="37" ht="22" customHeight="1">
      <x:c r="A37" s="2"/>
      <x:c r="B37" s="2"/>
      <x:c r="C37" s="2"/>
      <x:c r="D37" s="3"/>
      <x:c r="E37" s="3"/>
      <x:c r="F37" s="3"/>
      <x:c r="G37" s="3"/>
      <x:c r="H37" s="3"/>
      <x:c r="I37" s="3"/>
      <x:c r="J37" s="2"/>
      <x:c r="K37" s="2"/>
      <x:c r="L37" s="2"/>
      <x:c r="M37" s="2"/>
      <x:c r="N37" s="2"/>
      <x:c r="O37" s="2"/>
      <x:c r="P37" s="2"/>
      <x:c r="Q37" s="2"/>
    </x:row>
    <x:row r="38" ht="22" customHeight="1">
      <x:c r="A38" s="2"/>
      <x:c r="B38" s="2"/>
      <x:c r="C38" s="2"/>
      <x:c r="D38" s="3"/>
      <x:c r="E38" s="3"/>
      <x:c r="F38" s="3"/>
      <x:c r="G38" s="3"/>
      <x:c r="H38" s="3"/>
      <x:c r="I38" s="3"/>
      <x:c r="J38" s="2"/>
      <x:c r="K38" s="2"/>
      <x:c r="L38" s="2"/>
      <x:c r="M38" s="2"/>
      <x:c r="N38" s="2"/>
      <x:c r="O38" s="2"/>
      <x:c r="P38" s="2"/>
      <x:c r="Q38" s="2"/>
    </x:row>
    <x:row r="39" ht="22" customHeight="1">
      <x:c r="A39" s="2"/>
      <x:c r="B39" s="2"/>
      <x:c r="C39" s="2"/>
      <x:c r="D39" s="3"/>
      <x:c r="E39" s="3"/>
      <x:c r="F39" s="3"/>
      <x:c r="G39" s="3"/>
      <x:c r="H39" s="3"/>
      <x:c r="I39" s="3"/>
      <x:c r="J39" s="2"/>
      <x:c r="K39" s="2"/>
      <x:c r="L39" s="2"/>
      <x:c r="M39" s="2"/>
      <x:c r="N39" s="2"/>
      <x:c r="O39" s="2"/>
      <x:c r="P39" s="2"/>
      <x:c r="Q39" s="2"/>
    </x:row>
    <x:row r="40" ht="22" customHeight="1">
      <x:c r="A40" s="2"/>
      <x:c r="B40" s="2"/>
      <x:c r="C40" s="2"/>
      <x:c r="D40" s="3"/>
      <x:c r="E40" s="3"/>
      <x:c r="F40" s="3"/>
      <x:c r="G40" s="3"/>
      <x:c r="H40" s="3"/>
      <x:c r="I40" s="3"/>
      <x:c r="J40" s="2"/>
      <x:c r="K40" s="2"/>
      <x:c r="L40" s="2"/>
      <x:c r="M40" s="2"/>
      <x:c r="N40" s="2"/>
      <x:c r="O40" s="2"/>
      <x:c r="P40" s="2"/>
      <x:c r="Q40" s="2"/>
    </x:row>
    <x:row r="41" ht="22" customHeight="1">
      <x:c r="A41" s="2"/>
      <x:c r="B41" s="2"/>
      <x:c r="C41" s="2"/>
      <x:c r="D41" s="3"/>
      <x:c r="E41" s="3"/>
      <x:c r="F41" s="3"/>
      <x:c r="G41" s="3"/>
      <x:c r="H41" s="3"/>
      <x:c r="I41" s="3"/>
      <x:c r="J41" s="2"/>
      <x:c r="K41" s="2"/>
      <x:c r="L41" s="2"/>
      <x:c r="M41" s="2"/>
      <x:c r="N41" s="2"/>
      <x:c r="O41" s="2"/>
      <x:c r="P41" s="2"/>
      <x:c r="Q41" s="2"/>
    </x:row>
    <x:row r="42" ht="22" customHeight="1">
      <x:c r="A42" s="2"/>
      <x:c r="B42" s="2"/>
      <x:c r="C42" s="2"/>
      <x:c r="D42" s="3"/>
      <x:c r="E42" s="3"/>
      <x:c r="F42" s="3"/>
      <x:c r="G42" s="3"/>
      <x:c r="H42" s="3"/>
      <x:c r="I42" s="3"/>
      <x:c r="J42" s="2"/>
      <x:c r="K42" s="2"/>
      <x:c r="L42" s="2"/>
      <x:c r="M42" s="2"/>
      <x:c r="N42" s="2"/>
      <x:c r="O42" s="2"/>
      <x:c r="P42" s="2"/>
      <x:c r="Q42" s="2"/>
    </x:row>
    <x:row r="43" ht="22" customHeight="1">
      <x:c r="A43" s="2"/>
      <x:c r="B43" s="2"/>
      <x:c r="C43" s="2"/>
      <x:c r="D43" s="3"/>
      <x:c r="E43" s="3"/>
      <x:c r="F43" s="3"/>
      <x:c r="G43" s="3"/>
      <x:c r="H43" s="3"/>
      <x:c r="I43" s="3"/>
      <x:c r="J43" s="2"/>
      <x:c r="K43" s="2"/>
      <x:c r="L43" s="2"/>
      <x:c r="M43" s="2"/>
      <x:c r="N43" s="2"/>
      <x:c r="O43" s="2"/>
      <x:c r="P43" s="2"/>
      <x:c r="Q43" s="2"/>
    </x:row>
    <x:row r="44" ht="22" customHeight="1">
      <x:c r="A44" s="2"/>
      <x:c r="B44" s="2"/>
      <x:c r="C44" s="2"/>
      <x:c r="D44" s="3"/>
      <x:c r="E44" s="3"/>
      <x:c r="F44" s="3"/>
      <x:c r="G44" s="3"/>
      <x:c r="H44" s="3"/>
      <x:c r="I44" s="3"/>
      <x:c r="J44" s="2"/>
      <x:c r="K44" s="2"/>
      <x:c r="L44" s="2"/>
      <x:c r="M44" s="2"/>
      <x:c r="N44" s="2"/>
      <x:c r="O44" s="2"/>
      <x:c r="P44" s="2"/>
      <x:c r="Q44" s="2"/>
    </x:row>
    <x:row r="45" ht="22" customHeight="1">
      <x:c r="A45" s="2"/>
      <x:c r="B45" s="2"/>
      <x:c r="C45" s="2"/>
      <x:c r="D45" s="3"/>
      <x:c r="E45" s="3"/>
      <x:c r="F45" s="3"/>
      <x:c r="G45" s="3"/>
      <x:c r="H45" s="3"/>
      <x:c r="I45" s="3"/>
      <x:c r="J45" s="2"/>
      <x:c r="K45" s="2"/>
      <x:c r="L45" s="2"/>
      <x:c r="M45" s="2"/>
      <x:c r="N45" s="2"/>
      <x:c r="O45" s="2"/>
      <x:c r="P45" s="2"/>
      <x:c r="Q45" s="2"/>
    </x:row>
    <x:row r="46" ht="22" customHeight="1">
      <x:c r="A46" s="2"/>
      <x:c r="B46" s="2"/>
      <x:c r="C46" s="2"/>
      <x:c r="D46" s="3"/>
      <x:c r="E46" s="3"/>
      <x:c r="F46" s="3"/>
      <x:c r="G46" s="3"/>
      <x:c r="H46" s="3"/>
      <x:c r="I46" s="3"/>
      <x:c r="J46" s="2"/>
      <x:c r="K46" s="2"/>
      <x:c r="L46" s="2"/>
      <x:c r="M46" s="2"/>
      <x:c r="N46" s="2"/>
      <x:c r="O46" s="2"/>
      <x:c r="P46" s="2"/>
      <x:c r="Q46" s="2"/>
    </x:row>
    <x:row r="47" ht="22" customHeight="1">
      <x:c r="A47" s="2"/>
      <x:c r="B47" s="2"/>
      <x:c r="C47" s="2"/>
      <x:c r="D47" s="3"/>
      <x:c r="E47" s="3"/>
      <x:c r="F47" s="3"/>
      <x:c r="G47" s="3"/>
      <x:c r="H47" s="3"/>
      <x:c r="I47" s="3"/>
      <x:c r="J47" s="2"/>
      <x:c r="K47" s="2"/>
      <x:c r="L47" s="2"/>
      <x:c r="M47" s="2"/>
      <x:c r="N47" s="2"/>
      <x:c r="O47" s="2"/>
      <x:c r="P47" s="2"/>
      <x:c r="Q47" s="2"/>
    </x:row>
    <x:row r="48" ht="22" customHeight="1">
      <x:c r="A48" s="2"/>
      <x:c r="B48" s="2"/>
      <x:c r="C48" s="2"/>
      <x:c r="D48" s="3"/>
      <x:c r="E48" s="3"/>
      <x:c r="F48" s="3"/>
      <x:c r="G48" s="3"/>
      <x:c r="H48" s="3"/>
      <x:c r="I48" s="3"/>
      <x:c r="J48" s="2"/>
      <x:c r="K48" s="2"/>
      <x:c r="L48" s="2"/>
      <x:c r="M48" s="2"/>
      <x:c r="N48" s="2"/>
      <x:c r="O48" s="2"/>
      <x:c r="P48" s="2"/>
      <x:c r="Q48" s="2"/>
    </x:row>
    <x:row r="49" ht="22" customHeight="1">
      <x:c r="A49" s="2"/>
      <x:c r="B49" s="2"/>
      <x:c r="C49" s="2"/>
      <x:c r="D49" s="3"/>
      <x:c r="E49" s="3"/>
      <x:c r="F49" s="3"/>
      <x:c r="G49" s="3"/>
      <x:c r="H49" s="3"/>
      <x:c r="I49" s="3"/>
      <x:c r="J49" s="2"/>
      <x:c r="K49" s="2"/>
      <x:c r="L49" s="2"/>
      <x:c r="M49" s="2"/>
      <x:c r="N49" s="2"/>
      <x:c r="O49" s="2"/>
      <x:c r="P49" s="2"/>
      <x:c r="Q49" s="2"/>
    </x:row>
    <x:row r="50" ht="22" customHeight="1">
      <x:c r="A50" s="2"/>
      <x:c r="B50" s="2"/>
      <x:c r="C50" s="2"/>
      <x:c r="D50" s="3"/>
      <x:c r="E50" s="3"/>
      <x:c r="F50" s="3"/>
      <x:c r="G50" s="3"/>
      <x:c r="H50" s="3"/>
      <x:c r="I50" s="3"/>
      <x:c r="J50" s="2"/>
      <x:c r="K50" s="2"/>
      <x:c r="L50" s="2"/>
      <x:c r="M50" s="2"/>
      <x:c r="N50" s="2"/>
      <x:c r="O50" s="2"/>
      <x:c r="P50" s="2"/>
      <x:c r="Q50" s="2"/>
    </x:row>
    <x:row r="51" ht="22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2"/>
      <x:c r="K51" s="2"/>
      <x:c r="L51" s="2"/>
      <x:c r="M51" s="2"/>
      <x:c r="N51" s="2"/>
      <x:c r="O51" s="2"/>
      <x:c r="P51" s="2"/>
      <x:c r="Q51" s="2"/>
    </x:row>
    <x:row r="52" ht="22" customHeight="1">
      <x:c r="A52" s="2"/>
      <x:c r="B52" s="2"/>
      <x:c r="C52" s="2"/>
      <x:c r="D52" s="3"/>
      <x:c r="E52" s="3"/>
      <x:c r="F52" s="3"/>
      <x:c r="G52" s="3"/>
      <x:c r="H52" s="3"/>
      <x:c r="I52" s="3"/>
      <x:c r="J52" s="2"/>
      <x:c r="K52" s="2"/>
      <x:c r="L52" s="2"/>
      <x:c r="M52" s="2"/>
      <x:c r="N52" s="2"/>
      <x:c r="O52" s="2"/>
      <x:c r="P52" s="2"/>
      <x:c r="Q52" s="2"/>
    </x:row>
    <x:row r="53" ht="22" customHeight="1">
      <x:c r="A53" s="2"/>
      <x:c r="B53" s="2"/>
      <x:c r="C53" s="2"/>
      <x:c r="D53" s="3"/>
      <x:c r="E53" s="3"/>
      <x:c r="F53" s="3"/>
      <x:c r="G53" s="3"/>
      <x:c r="H53" s="3"/>
      <x:c r="I53" s="3"/>
      <x:c r="J53" s="2"/>
      <x:c r="K53" s="2"/>
      <x:c r="L53" s="2"/>
      <x:c r="M53" s="2"/>
      <x:c r="N53" s="2"/>
      <x:c r="O53" s="2"/>
      <x:c r="P53" s="2"/>
      <x:c r="Q53" s="2"/>
    </x:row>
    <x:row r="54" ht="22" customHeight="1">
      <x:c r="A54" s="2"/>
      <x:c r="B54" s="2"/>
      <x:c r="C54" s="2"/>
      <x:c r="D54" s="3"/>
      <x:c r="E54" s="3"/>
      <x:c r="F54" s="3"/>
      <x:c r="G54" s="3"/>
      <x:c r="H54" s="3"/>
      <x:c r="I54" s="3"/>
      <x:c r="J54" s="2"/>
      <x:c r="K54" s="2"/>
      <x:c r="L54" s="2"/>
      <x:c r="M54" s="2"/>
      <x:c r="N54" s="2"/>
      <x:c r="O54" s="2"/>
      <x:c r="P54" s="2"/>
      <x:c r="Q54" s="2"/>
    </x:row>
    <x:row r="55" ht="22" customHeight="1">
      <x:c r="A55" s="2"/>
      <x:c r="B55" s="2"/>
      <x:c r="C55" s="2"/>
      <x:c r="D55" s="3"/>
      <x:c r="E55" s="3"/>
      <x:c r="F55" s="3"/>
      <x:c r="G55" s="3"/>
      <x:c r="H55" s="3"/>
      <x:c r="I55" s="3"/>
      <x:c r="J55" s="2"/>
      <x:c r="K55" s="2"/>
      <x:c r="L55" s="2"/>
      <x:c r="M55" s="2"/>
      <x:c r="N55" s="2"/>
      <x:c r="O55" s="2"/>
      <x:c r="P55" s="2"/>
      <x:c r="Q55" s="2"/>
    </x:row>
    <x:row r="56" ht="22" customHeight="1">
      <x:c r="A56" s="2"/>
      <x:c r="B56" s="2"/>
      <x:c r="C56" s="2"/>
      <x:c r="D56" s="3"/>
      <x:c r="E56" s="3"/>
      <x:c r="F56" s="3"/>
      <x:c r="G56" s="3"/>
      <x:c r="H56" s="3"/>
      <x:c r="I56" s="3"/>
      <x:c r="J56" s="2"/>
      <x:c r="K56" s="2"/>
      <x:c r="L56" s="2"/>
      <x:c r="M56" s="2"/>
      <x:c r="N56" s="2"/>
      <x:c r="O56" s="2"/>
      <x:c r="P56" s="2"/>
      <x:c r="Q56" s="2"/>
    </x:row>
    <x:row r="57" ht="22" customHeight="1">
      <x:c r="A57" s="2"/>
      <x:c r="B57" s="2"/>
      <x:c r="C57" s="2"/>
      <x:c r="D57" s="3"/>
      <x:c r="E57" s="3"/>
      <x:c r="F57" s="3"/>
      <x:c r="G57" s="3"/>
      <x:c r="H57" s="3"/>
      <x:c r="I57" s="3"/>
      <x:c r="J57" s="2"/>
      <x:c r="K57" s="2"/>
      <x:c r="L57" s="2"/>
      <x:c r="M57" s="2"/>
      <x:c r="N57" s="2"/>
      <x:c r="O57" s="2"/>
      <x:c r="P57" s="2"/>
      <x:c r="Q57" s="2"/>
    </x:row>
    <x:row r="58" ht="22" customHeight="1">
      <x:c r="A58" s="2"/>
      <x:c r="B58" s="2"/>
      <x:c r="C58" s="2"/>
      <x:c r="D58" s="3"/>
      <x:c r="E58" s="3"/>
      <x:c r="F58" s="3"/>
      <x:c r="G58" s="3"/>
      <x:c r="H58" s="3"/>
      <x:c r="I58" s="3"/>
      <x:c r="J58" s="2"/>
      <x:c r="K58" s="2"/>
      <x:c r="L58" s="2"/>
      <x:c r="M58" s="2"/>
      <x:c r="N58" s="2"/>
      <x:c r="O58" s="2"/>
      <x:c r="P58" s="2"/>
      <x:c r="Q58" s="2"/>
    </x:row>
    <x:row r="59" ht="22" customHeight="1">
      <x:c r="A59" s="2"/>
      <x:c r="B59" s="2"/>
      <x:c r="C59" s="2"/>
      <x:c r="D59" s="3"/>
      <x:c r="E59" s="3"/>
      <x:c r="F59" s="3"/>
      <x:c r="G59" s="3"/>
      <x:c r="H59" s="3"/>
      <x:c r="I59" s="3"/>
      <x:c r="J59" s="2"/>
      <x:c r="K59" s="2"/>
      <x:c r="L59" s="2"/>
      <x:c r="M59" s="2"/>
      <x:c r="N59" s="2"/>
      <x:c r="O59" s="2"/>
      <x:c r="P59" s="2"/>
      <x:c r="Q59" s="2"/>
    </x:row>
    <x:row r="60" ht="22" customHeight="1">
      <x:c r="A60" s="2"/>
      <x:c r="B60" s="2"/>
      <x:c r="C60" s="2"/>
      <x:c r="D60" s="3"/>
      <x:c r="E60" s="3"/>
      <x:c r="F60" s="3"/>
      <x:c r="G60" s="3"/>
      <x:c r="H60" s="3"/>
      <x:c r="I60" s="3"/>
      <x:c r="J60" s="2"/>
      <x:c r="K60" s="2"/>
      <x:c r="L60" s="2"/>
      <x:c r="M60" s="2"/>
      <x:c r="N60" s="2"/>
      <x:c r="O60" s="2"/>
      <x:c r="P60" s="2"/>
      <x:c r="Q60" s="2"/>
    </x:row>
    <x:row r="61" ht="22" customHeight="1">
      <x:c r="A61" s="2"/>
      <x:c r="B61" s="2"/>
      <x:c r="C61" s="2"/>
      <x:c r="D61" s="3"/>
      <x:c r="E61" s="3"/>
      <x:c r="F61" s="3"/>
      <x:c r="G61" s="3"/>
      <x:c r="H61" s="3"/>
      <x:c r="I61" s="3"/>
      <x:c r="J61" s="2"/>
      <x:c r="K61" s="2"/>
      <x:c r="L61" s="2"/>
      <x:c r="M61" s="2"/>
      <x:c r="N61" s="2"/>
      <x:c r="O61" s="2"/>
      <x:c r="P61" s="2"/>
      <x:c r="Q61" s="2"/>
    </x:row>
    <x:row r="62" ht="22" customHeight="1">
      <x:c r="A62" s="2"/>
      <x:c r="B62" s="2"/>
      <x:c r="C62" s="2"/>
      <x:c r="D62" s="3"/>
      <x:c r="E62" s="3"/>
      <x:c r="F62" s="3"/>
      <x:c r="G62" s="3"/>
      <x:c r="H62" s="3"/>
      <x:c r="I62" s="3"/>
      <x:c r="J62" s="2"/>
      <x:c r="K62" s="2"/>
      <x:c r="L62" s="2"/>
      <x:c r="M62" s="2"/>
      <x:c r="N62" s="2"/>
      <x:c r="O62" s="2"/>
      <x:c r="P62" s="2"/>
      <x:c r="Q62" s="2"/>
    </x:row>
    <x:row r="63" ht="22" customHeight="1">
      <x:c r="A63" s="2"/>
      <x:c r="B63" s="2"/>
      <x:c r="C63" s="2"/>
      <x:c r="D63" s="3"/>
      <x:c r="E63" s="3"/>
      <x:c r="F63" s="3"/>
      <x:c r="G63" s="3"/>
      <x:c r="H63" s="3"/>
      <x:c r="I63" s="3"/>
      <x:c r="J63" s="2"/>
      <x:c r="K63" s="2"/>
      <x:c r="L63" s="2"/>
      <x:c r="M63" s="2"/>
      <x:c r="N63" s="2"/>
      <x:c r="O63" s="2"/>
      <x:c r="P63" s="2"/>
      <x:c r="Q63" s="2"/>
    </x:row>
    <x:row r="64" ht="22" customHeight="1">
      <x:c r="A64" s="2"/>
      <x:c r="B64" s="2"/>
      <x:c r="C64" s="2"/>
      <x:c r="D64" s="3"/>
      <x:c r="E64" s="3"/>
      <x:c r="F64" s="3"/>
      <x:c r="G64" s="3"/>
      <x:c r="H64" s="3"/>
      <x:c r="I64" s="3"/>
      <x:c r="J64" s="2"/>
      <x:c r="K64" s="2"/>
      <x:c r="L64" s="2"/>
      <x:c r="M64" s="2"/>
      <x:c r="N64" s="2"/>
      <x:c r="O64" s="2"/>
      <x:c r="P64" s="2"/>
      <x:c r="Q64" s="2"/>
    </x:row>
    <x:row r="65" ht="22" customHeight="1">
      <x:c r="A65" s="2"/>
      <x:c r="B65" s="2"/>
      <x:c r="C65" s="2"/>
      <x:c r="D65" s="3"/>
      <x:c r="E65" s="3"/>
      <x:c r="F65" s="3"/>
      <x:c r="G65" s="3"/>
      <x:c r="H65" s="3"/>
      <x:c r="I65" s="3"/>
      <x:c r="J65" s="2"/>
      <x:c r="K65" s="2"/>
      <x:c r="L65" s="2"/>
      <x:c r="M65" s="2"/>
      <x:c r="N65" s="2"/>
      <x:c r="O65" s="2"/>
      <x:c r="P65" s="2"/>
      <x:c r="Q65" s="2"/>
    </x:row>
    <x:row r="66" ht="22" customHeight="1">
      <x:c r="A66" s="2"/>
      <x:c r="B66" s="2"/>
      <x:c r="C66" s="2"/>
      <x:c r="D66" s="3"/>
      <x:c r="E66" s="3"/>
      <x:c r="F66" s="3"/>
      <x:c r="G66" s="3"/>
      <x:c r="H66" s="3"/>
      <x:c r="I66" s="3"/>
      <x:c r="J66" s="2"/>
      <x:c r="K66" s="2"/>
      <x:c r="L66" s="2"/>
      <x:c r="M66" s="2"/>
      <x:c r="N66" s="2"/>
      <x:c r="O66" s="2"/>
      <x:c r="P66" s="2"/>
      <x:c r="Q66" s="2"/>
    </x:row>
    <x:row r="67" ht="22" customHeight="1">
      <x:c r="A67" s="2"/>
      <x:c r="B67" s="2"/>
      <x:c r="C67" s="2"/>
      <x:c r="D67" s="3"/>
      <x:c r="E67" s="3"/>
      <x:c r="F67" s="3"/>
      <x:c r="G67" s="3"/>
      <x:c r="H67" s="3"/>
      <x:c r="I67" s="3"/>
      <x:c r="J67" s="2"/>
      <x:c r="K67" s="2"/>
      <x:c r="L67" s="2"/>
      <x:c r="M67" s="2"/>
      <x:c r="N67" s="2"/>
      <x:c r="O67" s="2"/>
      <x:c r="P67" s="2"/>
      <x:c r="Q67" s="2"/>
    </x:row>
    <x:row r="68" ht="22" customHeight="1">
      <x:c r="A68" s="2"/>
      <x:c r="B68" s="2"/>
      <x:c r="C68" s="2"/>
      <x:c r="D68" s="3"/>
      <x:c r="E68" s="3"/>
      <x:c r="F68" s="3"/>
      <x:c r="G68" s="3"/>
      <x:c r="H68" s="3"/>
      <x:c r="I68" s="3"/>
      <x:c r="J68" s="2"/>
      <x:c r="K68" s="2"/>
      <x:c r="L68" s="2"/>
      <x:c r="M68" s="2"/>
      <x:c r="N68" s="2"/>
      <x:c r="O68" s="2"/>
      <x:c r="P68" s="2"/>
      <x:c r="Q68" s="2"/>
    </x:row>
    <x:row r="69" ht="22" customHeight="1">
      <x:c r="A69" s="2"/>
      <x:c r="B69" s="2"/>
      <x:c r="C69" s="2"/>
      <x:c r="D69" s="3"/>
      <x:c r="E69" s="3"/>
      <x:c r="F69" s="3"/>
      <x:c r="G69" s="3"/>
      <x:c r="H69" s="3"/>
      <x:c r="I69" s="3"/>
      <x:c r="J69" s="2"/>
      <x:c r="K69" s="2"/>
      <x:c r="L69" s="2"/>
      <x:c r="M69" s="2"/>
      <x:c r="N69" s="2"/>
      <x:c r="O69" s="2"/>
      <x:c r="P69" s="2"/>
      <x:c r="Q69" s="2"/>
    </x:row>
    <x:row r="70" ht="22" customHeight="1">
      <x:c r="A70" s="2"/>
      <x:c r="B70" s="2"/>
      <x:c r="C70" s="2"/>
      <x:c r="D70" s="3"/>
      <x:c r="E70" s="3"/>
      <x:c r="F70" s="3"/>
      <x:c r="G70" s="3"/>
      <x:c r="H70" s="3"/>
      <x:c r="I70" s="3"/>
      <x:c r="J70" s="2"/>
      <x:c r="K70" s="2"/>
      <x:c r="L70" s="2"/>
      <x:c r="M70" s="2"/>
      <x:c r="N70" s="2"/>
      <x:c r="O70" s="2"/>
      <x:c r="P70" s="2"/>
      <x:c r="Q70" s="2"/>
    </x:row>
    <x:row r="71" ht="22" customHeight="1">
      <x:c r="A71" s="2"/>
      <x:c r="B71" s="2"/>
      <x:c r="C71" s="2"/>
      <x:c r="D71" s="3"/>
      <x:c r="E71" s="3"/>
      <x:c r="F71" s="3"/>
      <x:c r="G71" s="3"/>
      <x:c r="H71" s="3"/>
      <x:c r="I71" s="3"/>
      <x:c r="J71" s="2"/>
      <x:c r="K71" s="2"/>
      <x:c r="L71" s="2"/>
      <x:c r="M71" s="2"/>
      <x:c r="N71" s="2"/>
      <x:c r="O71" s="2"/>
      <x:c r="P71" s="2"/>
      <x:c r="Q71" s="2"/>
    </x:row>
    <x:row r="72" ht="22" customHeight="1">
      <x:c r="A72" s="2"/>
      <x:c r="B72" s="2"/>
      <x:c r="C72" s="2"/>
      <x:c r="D72" s="3"/>
      <x:c r="E72" s="3"/>
      <x:c r="F72" s="3"/>
      <x:c r="G72" s="3"/>
      <x:c r="H72" s="3"/>
      <x:c r="I72" s="3"/>
      <x:c r="J72" s="2"/>
      <x:c r="K72" s="2"/>
      <x:c r="L72" s="2"/>
      <x:c r="M72" s="2"/>
      <x:c r="N72" s="2"/>
      <x:c r="O72" s="2"/>
      <x:c r="P72" s="2"/>
      <x:c r="Q72" s="2"/>
    </x:row>
    <x:row r="73" ht="22" customHeight="1">
      <x:c r="A73" s="2"/>
      <x:c r="B73" s="2"/>
      <x:c r="C73" s="2"/>
      <x:c r="D73" s="3"/>
      <x:c r="E73" s="3"/>
      <x:c r="F73" s="3"/>
      <x:c r="G73" s="3"/>
      <x:c r="H73" s="3"/>
      <x:c r="I73" s="3"/>
      <x:c r="J73" s="2"/>
      <x:c r="K73" s="2"/>
      <x:c r="L73" s="2"/>
      <x:c r="M73" s="2"/>
      <x:c r="N73" s="2"/>
      <x:c r="O73" s="2"/>
      <x:c r="P73" s="2"/>
      <x:c r="Q73" s="2"/>
    </x:row>
    <x:row r="74" ht="22" customHeight="1">
      <x:c r="A74" s="2"/>
      <x:c r="B74" s="2"/>
      <x:c r="C74" s="2"/>
      <x:c r="D74" s="3"/>
      <x:c r="E74" s="3"/>
      <x:c r="F74" s="3"/>
      <x:c r="G74" s="3"/>
      <x:c r="H74" s="3"/>
      <x:c r="I74" s="3"/>
      <x:c r="J74" s="2"/>
      <x:c r="K74" s="2"/>
      <x:c r="L74" s="2"/>
      <x:c r="M74" s="2"/>
      <x:c r="N74" s="2"/>
      <x:c r="O74" s="2"/>
      <x:c r="P74" s="2"/>
      <x:c r="Q74" s="2"/>
    </x:row>
    <x:row r="75" ht="22" customHeight="1">
      <x:c r="A75" s="2"/>
      <x:c r="B75" s="2"/>
      <x:c r="C75" s="2"/>
      <x:c r="D75" s="3"/>
      <x:c r="E75" s="3"/>
      <x:c r="F75" s="3"/>
      <x:c r="G75" s="3"/>
      <x:c r="H75" s="3"/>
      <x:c r="I75" s="3"/>
      <x:c r="J75" s="2"/>
      <x:c r="K75" s="2"/>
      <x:c r="L75" s="2"/>
      <x:c r="M75" s="2"/>
      <x:c r="N75" s="2"/>
      <x:c r="O75" s="2"/>
      <x:c r="P75" s="2"/>
      <x:c r="Q75" s="2"/>
    </x:row>
    <x:row r="76" ht="22" customHeight="1">
      <x:c r="A76" s="2"/>
      <x:c r="B76" s="2"/>
      <x:c r="C76" s="2"/>
      <x:c r="D76" s="3"/>
      <x:c r="E76" s="3"/>
      <x:c r="F76" s="3"/>
      <x:c r="G76" s="3"/>
      <x:c r="H76" s="3"/>
      <x:c r="I76" s="3"/>
      <x:c r="J76" s="2"/>
      <x:c r="K76" s="2"/>
      <x:c r="L76" s="2"/>
      <x:c r="M76" s="2"/>
      <x:c r="N76" s="2"/>
      <x:c r="O76" s="2"/>
      <x:c r="P76" s="2"/>
      <x:c r="Q76" s="2"/>
    </x:row>
    <x:row r="77" ht="22" customHeight="1">
      <x:c r="A77" s="2"/>
      <x:c r="B77" s="2"/>
      <x:c r="C77" s="2"/>
      <x:c r="D77" s="3"/>
      <x:c r="E77" s="3"/>
      <x:c r="F77" s="3"/>
      <x:c r="G77" s="3"/>
      <x:c r="H77" s="3"/>
      <x:c r="I77" s="3"/>
      <x:c r="J77" s="2"/>
      <x:c r="K77" s="2"/>
      <x:c r="L77" s="2"/>
      <x:c r="M77" s="2"/>
      <x:c r="N77" s="2"/>
      <x:c r="O77" s="2"/>
      <x:c r="P77" s="2"/>
      <x:c r="Q77" s="2"/>
    </x:row>
    <x:row r="78" ht="22" customHeight="1">
      <x:c r="A78" s="2"/>
      <x:c r="B78" s="2"/>
      <x:c r="C78" s="2"/>
      <x:c r="D78" s="3"/>
      <x:c r="E78" s="3"/>
      <x:c r="F78" s="3"/>
      <x:c r="G78" s="3"/>
      <x:c r="H78" s="3"/>
      <x:c r="I78" s="3"/>
      <x:c r="J78" s="2"/>
      <x:c r="K78" s="2"/>
      <x:c r="L78" s="2"/>
      <x:c r="M78" s="2"/>
      <x:c r="N78" s="2"/>
      <x:c r="O78" s="2"/>
      <x:c r="P78" s="2"/>
      <x:c r="Q78" s="2"/>
    </x:row>
    <x:row r="79" ht="22" customHeight="1">
      <x:c r="A79" s="2"/>
      <x:c r="B79" s="2"/>
      <x:c r="C79" s="2"/>
      <x:c r="D79" s="3"/>
      <x:c r="E79" s="3"/>
      <x:c r="F79" s="3"/>
      <x:c r="G79" s="3"/>
      <x:c r="H79" s="3"/>
      <x:c r="I79" s="3"/>
      <x:c r="J79" s="2"/>
      <x:c r="K79" s="2"/>
      <x:c r="L79" s="2"/>
      <x:c r="M79" s="2"/>
      <x:c r="N79" s="2"/>
      <x:c r="O79" s="2"/>
      <x:c r="P79" s="2"/>
      <x:c r="Q79" s="2"/>
    </x:row>
    <x:row r="80" ht="22" customHeight="1">
      <x:c r="A80" s="2"/>
      <x:c r="B80" s="2"/>
      <x:c r="C80" s="2"/>
      <x:c r="D80" s="3"/>
      <x:c r="E80" s="3"/>
      <x:c r="F80" s="3"/>
      <x:c r="G80" s="3"/>
      <x:c r="H80" s="3"/>
      <x:c r="I80" s="3"/>
      <x:c r="J80" s="2"/>
      <x:c r="K80" s="2"/>
      <x:c r="L80" s="2"/>
      <x:c r="M80" s="2"/>
      <x:c r="N80" s="2"/>
      <x:c r="O80" s="2"/>
      <x:c r="P80" s="2"/>
      <x:c r="Q80" s="2"/>
    </x:row>
    <x:row r="81" ht="22" customHeight="1">
      <x:c r="A81" s="2"/>
      <x:c r="B81" s="2"/>
      <x:c r="C81" s="2"/>
      <x:c r="D81" s="3"/>
      <x:c r="E81" s="3"/>
      <x:c r="F81" s="3"/>
      <x:c r="G81" s="3"/>
      <x:c r="H81" s="3"/>
      <x:c r="I81" s="3"/>
      <x:c r="J81" s="2"/>
      <x:c r="K81" s="2"/>
      <x:c r="L81" s="2"/>
      <x:c r="M81" s="2"/>
      <x:c r="N81" s="2"/>
      <x:c r="O81" s="2"/>
      <x:c r="P81" s="2"/>
      <x:c r="Q81" s="2"/>
    </x:row>
    <x:row r="82" ht="22" customHeight="1">
      <x:c r="A82" s="2"/>
      <x:c r="B82" s="2"/>
      <x:c r="C82" s="2"/>
      <x:c r="D82" s="3"/>
      <x:c r="E82" s="3"/>
      <x:c r="F82" s="3"/>
      <x:c r="G82" s="3"/>
      <x:c r="H82" s="3"/>
      <x:c r="I82" s="3"/>
      <x:c r="J82" s="2"/>
      <x:c r="K82" s="2"/>
      <x:c r="L82" s="2"/>
      <x:c r="M82" s="2"/>
      <x:c r="N82" s="2"/>
      <x:c r="O82" s="2"/>
      <x:c r="P82" s="2"/>
      <x:c r="Q82" s="2"/>
    </x:row>
    <x:row r="83" ht="22" customHeight="1">
      <x:c r="A83" s="2"/>
      <x:c r="B83" s="2"/>
      <x:c r="C83" s="2"/>
      <x:c r="D83" s="3"/>
      <x:c r="E83" s="3"/>
      <x:c r="F83" s="3"/>
      <x:c r="G83" s="3"/>
      <x:c r="H83" s="3"/>
      <x:c r="I83" s="3"/>
      <x:c r="J83" s="2"/>
      <x:c r="K83" s="2"/>
      <x:c r="L83" s="2"/>
      <x:c r="M83" s="2"/>
      <x:c r="N83" s="2"/>
      <x:c r="O83" s="2"/>
      <x:c r="P83" s="2"/>
      <x:c r="Q83" s="2"/>
    </x:row>
    <x:row r="84" ht="22" customHeight="1">
      <x:c r="A84" s="2"/>
      <x:c r="B84" s="2"/>
      <x:c r="C84" s="2"/>
      <x:c r="D84" s="3"/>
      <x:c r="E84" s="3"/>
      <x:c r="F84" s="3"/>
      <x:c r="G84" s="3"/>
      <x:c r="H84" s="3"/>
      <x:c r="I84" s="3"/>
      <x:c r="J84" s="2"/>
      <x:c r="K84" s="2"/>
      <x:c r="L84" s="2"/>
      <x:c r="M84" s="2"/>
      <x:c r="N84" s="2"/>
      <x:c r="O84" s="2"/>
      <x:c r="P84" s="2"/>
      <x:c r="Q84" s="2"/>
    </x:row>
    <x:row r="85" ht="22" customHeight="1">
      <x:c r="A85" s="2"/>
      <x:c r="B85" s="2"/>
      <x:c r="C85" s="2"/>
      <x:c r="D85" s="3"/>
      <x:c r="E85" s="3"/>
      <x:c r="F85" s="3"/>
      <x:c r="G85" s="3"/>
      <x:c r="H85" s="3"/>
      <x:c r="I85" s="3"/>
      <x:c r="J85" s="2"/>
      <x:c r="K85" s="2"/>
      <x:c r="L85" s="2"/>
      <x:c r="M85" s="2"/>
      <x:c r="N85" s="2"/>
      <x:c r="O85" s="2"/>
      <x:c r="P85" s="2"/>
      <x:c r="Q85" s="2"/>
    </x:row>
    <x:row r="86" ht="22" customHeight="1">
      <x:c r="A86" s="2"/>
      <x:c r="B86" s="2"/>
      <x:c r="C86" s="2"/>
      <x:c r="D86" s="3"/>
      <x:c r="E86" s="3"/>
      <x:c r="F86" s="3"/>
      <x:c r="G86" s="3"/>
      <x:c r="H86" s="3"/>
      <x:c r="I86" s="3"/>
      <x:c r="J86" s="2"/>
      <x:c r="K86" s="2"/>
      <x:c r="L86" s="2"/>
      <x:c r="M86" s="2"/>
      <x:c r="N86" s="2"/>
      <x:c r="O86" s="2"/>
      <x:c r="P86" s="2"/>
      <x:c r="Q86" s="2"/>
    </x:row>
    <x:row r="87" ht="22" customHeight="1">
      <x:c r="A87" s="2"/>
      <x:c r="B87" s="2"/>
      <x:c r="C87" s="2"/>
      <x:c r="D87" s="3"/>
      <x:c r="E87" s="3"/>
      <x:c r="F87" s="3"/>
      <x:c r="G87" s="3"/>
      <x:c r="H87" s="3"/>
      <x:c r="I87" s="3"/>
      <x:c r="J87" s="2"/>
      <x:c r="K87" s="2"/>
      <x:c r="L87" s="2"/>
      <x:c r="M87" s="2"/>
      <x:c r="N87" s="2"/>
      <x:c r="O87" s="2"/>
      <x:c r="P87" s="2"/>
      <x:c r="Q87" s="2"/>
    </x:row>
    <x:row r="88" ht="22" customHeight="1">
      <x:c r="A88" s="2"/>
      <x:c r="B88" s="2"/>
      <x:c r="C88" s="2"/>
      <x:c r="D88" s="3"/>
      <x:c r="E88" s="3"/>
      <x:c r="F88" s="3"/>
      <x:c r="G88" s="3"/>
      <x:c r="H88" s="3"/>
      <x:c r="I88" s="3"/>
      <x:c r="J88" s="2"/>
      <x:c r="K88" s="2"/>
      <x:c r="L88" s="2"/>
      <x:c r="M88" s="2"/>
      <x:c r="N88" s="2"/>
      <x:c r="O88" s="2"/>
      <x:c r="P88" s="2"/>
      <x:c r="Q88" s="2"/>
    </x:row>
    <x:row r="89" ht="22" customHeight="1">
      <x:c r="A89" s="2"/>
      <x:c r="B89" s="2"/>
      <x:c r="C89" s="2"/>
      <x:c r="D89" s="3"/>
      <x:c r="E89" s="3"/>
      <x:c r="F89" s="3"/>
      <x:c r="G89" s="3"/>
      <x:c r="H89" s="3"/>
      <x:c r="I89" s="3"/>
      <x:c r="J89" s="2"/>
      <x:c r="K89" s="2"/>
      <x:c r="L89" s="2"/>
      <x:c r="M89" s="2"/>
      <x:c r="N89" s="2"/>
      <x:c r="O89" s="2"/>
      <x:c r="P89" s="2"/>
      <x:c r="Q89" s="2"/>
    </x:row>
    <x:row r="90" ht="22" customHeight="1">
      <x:c r="A90" s="2"/>
      <x:c r="B90" s="2"/>
      <x:c r="C90" s="2"/>
      <x:c r="D90" s="3"/>
      <x:c r="E90" s="3"/>
      <x:c r="F90" s="3"/>
      <x:c r="G90" s="3"/>
      <x:c r="H90" s="3"/>
      <x:c r="I90" s="3"/>
      <x:c r="J90" s="2"/>
      <x:c r="K90" s="2"/>
      <x:c r="L90" s="2"/>
      <x:c r="M90" s="2"/>
      <x:c r="N90" s="2"/>
      <x:c r="O90" s="2"/>
      <x:c r="P90" s="2"/>
      <x:c r="Q90" s="2"/>
    </x:row>
    <x:row r="91" ht="22" customHeight="1">
      <x:c r="A91" s="2"/>
      <x:c r="B91" s="2"/>
      <x:c r="C91" s="2"/>
      <x:c r="D91" s="3"/>
      <x:c r="E91" s="3"/>
      <x:c r="F91" s="3"/>
      <x:c r="G91" s="3"/>
      <x:c r="H91" s="3"/>
      <x:c r="I91" s="3"/>
      <x:c r="J91" s="2"/>
      <x:c r="K91" s="2"/>
      <x:c r="L91" s="2"/>
      <x:c r="M91" s="2"/>
      <x:c r="N91" s="2"/>
      <x:c r="O91" s="2"/>
      <x:c r="P91" s="2"/>
      <x:c r="Q91" s="2"/>
    </x:row>
    <x:row r="92" ht="22" customHeight="1">
      <x:c r="A92" s="2"/>
      <x:c r="B92" s="2"/>
      <x:c r="C92" s="2"/>
      <x:c r="D92" s="3"/>
      <x:c r="E92" s="3"/>
      <x:c r="F92" s="3"/>
      <x:c r="G92" s="3"/>
      <x:c r="H92" s="3"/>
      <x:c r="I92" s="3"/>
      <x:c r="J92" s="2"/>
      <x:c r="K92" s="2"/>
      <x:c r="L92" s="2"/>
      <x:c r="M92" s="2"/>
      <x:c r="N92" s="2"/>
      <x:c r="O92" s="2"/>
      <x:c r="P92" s="2"/>
      <x:c r="Q92" s="2"/>
    </x:row>
    <x:row r="93" ht="22" customHeight="1">
      <x:c r="A93" s="2"/>
      <x:c r="B93" s="2"/>
      <x:c r="C93" s="2"/>
      <x:c r="D93" s="3"/>
      <x:c r="E93" s="3"/>
      <x:c r="F93" s="3"/>
      <x:c r="G93" s="3"/>
      <x:c r="H93" s="3"/>
      <x:c r="I93" s="3"/>
      <x:c r="J93" s="2"/>
      <x:c r="K93" s="2"/>
      <x:c r="L93" s="2"/>
      <x:c r="M93" s="2"/>
      <x:c r="N93" s="2"/>
      <x:c r="O93" s="2"/>
      <x:c r="P93" s="2"/>
      <x:c r="Q93" s="2"/>
    </x:row>
    <x:row r="94" ht="22" customHeight="1">
      <x:c r="A94" s="2"/>
      <x:c r="B94" s="2"/>
      <x:c r="C94" s="2"/>
      <x:c r="D94" s="3"/>
      <x:c r="E94" s="3"/>
      <x:c r="F94" s="3"/>
      <x:c r="G94" s="3"/>
      <x:c r="H94" s="3"/>
      <x:c r="I94" s="3"/>
      <x:c r="J94" s="2"/>
      <x:c r="K94" s="2"/>
      <x:c r="L94" s="2"/>
      <x:c r="M94" s="2"/>
      <x:c r="N94" s="2"/>
      <x:c r="O94" s="2"/>
      <x:c r="P94" s="2"/>
      <x:c r="Q94" s="2"/>
    </x:row>
    <x:row r="95" ht="22" customHeight="1">
      <x:c r="A95" s="2"/>
      <x:c r="B95" s="2"/>
      <x:c r="C95" s="2"/>
      <x:c r="D95" s="3"/>
      <x:c r="E95" s="3"/>
      <x:c r="F95" s="3"/>
      <x:c r="G95" s="3"/>
      <x:c r="H95" s="3"/>
      <x:c r="I95" s="3"/>
      <x:c r="J95" s="2"/>
      <x:c r="K95" s="2"/>
      <x:c r="L95" s="2"/>
      <x:c r="M95" s="2"/>
      <x:c r="N95" s="2"/>
      <x:c r="O95" s="2"/>
      <x:c r="P95" s="2"/>
      <x:c r="Q95" s="2"/>
    </x:row>
    <x:row r="96" ht="22" customHeight="1">
      <x:c r="A96" s="2"/>
      <x:c r="B96" s="2"/>
      <x:c r="C96" s="2"/>
      <x:c r="D96" s="3"/>
      <x:c r="E96" s="3"/>
      <x:c r="F96" s="3"/>
      <x:c r="G96" s="3"/>
      <x:c r="H96" s="3"/>
      <x:c r="I96" s="3"/>
      <x:c r="J96" s="2"/>
      <x:c r="K96" s="2"/>
      <x:c r="L96" s="2"/>
      <x:c r="M96" s="2"/>
      <x:c r="N96" s="2"/>
      <x:c r="O96" s="2"/>
      <x:c r="P96" s="2"/>
      <x:c r="Q96" s="2"/>
    </x:row>
    <x:row r="97" ht="22" customHeight="1">
      <x:c r="A97" s="2"/>
      <x:c r="B97" s="2"/>
      <x:c r="C97" s="2"/>
      <x:c r="D97" s="3"/>
      <x:c r="E97" s="3"/>
      <x:c r="F97" s="3"/>
      <x:c r="G97" s="3"/>
      <x:c r="H97" s="3"/>
      <x:c r="I97" s="3"/>
      <x:c r="J97" s="2"/>
      <x:c r="K97" s="2"/>
      <x:c r="L97" s="2"/>
      <x:c r="M97" s="2"/>
      <x:c r="N97" s="2"/>
      <x:c r="O97" s="2"/>
      <x:c r="P97" s="2"/>
      <x:c r="Q97" s="2"/>
    </x:row>
    <x:row r="98" ht="22" customHeight="1">
      <x:c r="A98" s="2"/>
      <x:c r="B98" s="2"/>
      <x:c r="C98" s="2"/>
      <x:c r="D98" s="3"/>
      <x:c r="E98" s="3"/>
      <x:c r="F98" s="3"/>
      <x:c r="G98" s="3"/>
      <x:c r="H98" s="3"/>
      <x:c r="I98" s="3"/>
      <x:c r="J98" s="2"/>
      <x:c r="K98" s="2"/>
      <x:c r="L98" s="2"/>
      <x:c r="M98" s="2"/>
      <x:c r="N98" s="2"/>
      <x:c r="O98" s="2"/>
      <x:c r="P98" s="2"/>
      <x:c r="Q98" s="2"/>
    </x:row>
    <x:row r="99" ht="22" customHeight="1">
      <x:c r="A99" s="2"/>
      <x:c r="B99" s="2"/>
      <x:c r="C99" s="2"/>
      <x:c r="D99" s="3"/>
      <x:c r="E99" s="3"/>
      <x:c r="F99" s="3"/>
      <x:c r="G99" s="3"/>
      <x:c r="H99" s="3"/>
      <x:c r="I99" s="3"/>
      <x:c r="J99" s="2"/>
      <x:c r="K99" s="2"/>
      <x:c r="L99" s="2"/>
      <x:c r="M99" s="2"/>
      <x:c r="N99" s="2"/>
      <x:c r="O99" s="2"/>
      <x:c r="P99" s="2"/>
      <x:c r="Q99" s="2"/>
    </x:row>
    <x:row r="100" ht="22" customHeight="1">
      <x:c r="A100" s="2"/>
      <x:c r="B100" s="2"/>
      <x:c r="C100" s="2"/>
      <x:c r="D100" s="3"/>
      <x:c r="E100" s="3"/>
      <x:c r="F100" s="3"/>
      <x:c r="G100" s="3"/>
      <x:c r="H100" s="3"/>
      <x:c r="I100" s="3"/>
      <x:c r="J100" s="2"/>
      <x:c r="K100" s="2"/>
      <x:c r="L100" s="2"/>
      <x:c r="M100" s="2"/>
      <x:c r="N100" s="2"/>
      <x:c r="O100" s="2"/>
      <x:c r="P100" s="2"/>
      <x:c r="Q100" s="2"/>
    </x:row>
    <x:row r="101" ht="22" customHeight="1">
      <x:c r="A101" s="2"/>
      <x:c r="B101" s="2"/>
      <x:c r="C101" s="2"/>
      <x:c r="D101" s="3"/>
      <x:c r="E101" s="3"/>
      <x:c r="F101" s="3"/>
      <x:c r="G101" s="3"/>
      <x:c r="H101" s="3"/>
      <x:c r="I101" s="3"/>
      <x:c r="J101" s="2"/>
      <x:c r="K101" s="2"/>
      <x:c r="L101" s="2"/>
      <x:c r="M101" s="2"/>
      <x:c r="N101" s="2"/>
      <x:c r="O101" s="2"/>
      <x:c r="P101" s="2"/>
      <x:c r="Q101" s="2"/>
    </x:row>
    <x:row r="102" ht="22" customHeight="1">
      <x:c r="A102" s="2"/>
      <x:c r="B102" s="2"/>
      <x:c r="C102" s="2"/>
      <x:c r="D102" s="3"/>
      <x:c r="E102" s="3"/>
      <x:c r="F102" s="3"/>
      <x:c r="G102" s="3"/>
      <x:c r="H102" s="3"/>
      <x:c r="I102" s="3"/>
      <x:c r="J102" s="2"/>
      <x:c r="K102" s="2"/>
      <x:c r="L102" s="2"/>
      <x:c r="M102" s="2"/>
      <x:c r="N102" s="2"/>
      <x:c r="O102" s="2"/>
      <x:c r="P102" s="2"/>
      <x:c r="Q102" s="2"/>
    </x:row>
    <x:row r="103" ht="22" customHeight="1">
      <x:c r="A103" s="2"/>
      <x:c r="B103" s="2"/>
      <x:c r="C103" s="2"/>
      <x:c r="D103" s="3"/>
      <x:c r="E103" s="3"/>
      <x:c r="F103" s="3"/>
      <x:c r="G103" s="3"/>
      <x:c r="H103" s="3"/>
      <x:c r="I103" s="3"/>
      <x:c r="J103" s="2"/>
      <x:c r="K103" s="2"/>
      <x:c r="L103" s="2"/>
      <x:c r="M103" s="2"/>
      <x:c r="N103" s="2"/>
      <x:c r="O103" s="2"/>
      <x:c r="P103" s="2"/>
      <x:c r="Q103" s="2"/>
    </x:row>
    <x:row r="104" ht="22" customHeight="1">
      <x:c r="A104" s="2"/>
      <x:c r="B104" s="2"/>
      <x:c r="C104" s="2"/>
      <x:c r="D104" s="3"/>
      <x:c r="E104" s="3"/>
      <x:c r="F104" s="3"/>
      <x:c r="G104" s="3"/>
      <x:c r="H104" s="3"/>
      <x:c r="I104" s="3"/>
      <x:c r="J104" s="2"/>
      <x:c r="K104" s="2"/>
      <x:c r="L104" s="2"/>
      <x:c r="M104" s="2"/>
      <x:c r="N104" s="2"/>
      <x:c r="O104" s="2"/>
      <x:c r="P104" s="2"/>
      <x:c r="Q104" s="2"/>
    </x:row>
    <x:row r="105" ht="22" customHeight="1">
      <x:c r="A105" s="2"/>
      <x:c r="B105" s="2"/>
      <x:c r="C105" s="2"/>
      <x:c r="D105" s="3"/>
      <x:c r="E105" s="3"/>
      <x:c r="F105" s="3"/>
      <x:c r="G105" s="3"/>
      <x:c r="H105" s="3"/>
      <x:c r="I105" s="3"/>
      <x:c r="J105" s="2"/>
      <x:c r="K105" s="2"/>
      <x:c r="L105" s="2"/>
      <x:c r="M105" s="2"/>
      <x:c r="N105" s="2"/>
      <x:c r="O105" s="2"/>
      <x:c r="P105" s="2"/>
      <x:c r="Q105" s="2"/>
    </x:row>
    <x:row r="106" ht="22" customHeight="1">
      <x:c r="A106" s="2"/>
      <x:c r="B106" s="2"/>
      <x:c r="C106" s="2"/>
      <x:c r="D106" s="3"/>
      <x:c r="E106" s="3"/>
      <x:c r="F106" s="3"/>
      <x:c r="G106" s="3"/>
      <x:c r="H106" s="3"/>
      <x:c r="I106" s="3"/>
      <x:c r="J106" s="2"/>
      <x:c r="K106" s="2"/>
      <x:c r="L106" s="2"/>
      <x:c r="M106" s="2"/>
      <x:c r="N106" s="2"/>
      <x:c r="O106" s="2"/>
      <x:c r="P106" s="2"/>
      <x:c r="Q106" s="2"/>
    </x:row>
    <x:row r="107" ht="22" customHeight="1">
      <x:c r="A107" s="2"/>
      <x:c r="B107" s="2"/>
      <x:c r="C107" s="2"/>
      <x:c r="D107" s="3"/>
      <x:c r="E107" s="3"/>
      <x:c r="F107" s="3"/>
      <x:c r="G107" s="3"/>
      <x:c r="H107" s="3"/>
      <x:c r="I107" s="3"/>
      <x:c r="J107" s="2"/>
      <x:c r="K107" s="2"/>
      <x:c r="L107" s="2"/>
      <x:c r="M107" s="2"/>
      <x:c r="N107" s="2"/>
      <x:c r="O107" s="2"/>
      <x:c r="P107" s="2"/>
      <x:c r="Q107" s="2"/>
    </x:row>
    <x:row r="108" ht="22" customHeight="1">
      <x:c r="A108" s="2"/>
      <x:c r="B108" s="2"/>
      <x:c r="C108" s="2"/>
      <x:c r="D108" s="3"/>
      <x:c r="E108" s="3"/>
      <x:c r="F108" s="3"/>
      <x:c r="G108" s="3"/>
      <x:c r="H108" s="3"/>
      <x:c r="I108" s="3"/>
      <x:c r="J108" s="2"/>
      <x:c r="K108" s="2"/>
      <x:c r="L108" s="2"/>
      <x:c r="M108" s="2"/>
      <x:c r="N108" s="2"/>
      <x:c r="O108" s="2"/>
      <x:c r="P108" s="2"/>
      <x:c r="Q108" s="2"/>
    </x:row>
    <x:row r="109" ht="22" customHeight="1">
      <x:c r="A109" s="2"/>
      <x:c r="B109" s="2"/>
      <x:c r="C109" s="2"/>
      <x:c r="D109" s="3"/>
      <x:c r="E109" s="3"/>
      <x:c r="F109" s="3"/>
      <x:c r="G109" s="3"/>
      <x:c r="H109" s="3"/>
      <x:c r="I109" s="3"/>
      <x:c r="J109" s="2"/>
      <x:c r="K109" s="2"/>
      <x:c r="L109" s="2"/>
      <x:c r="M109" s="2"/>
      <x:c r="N109" s="2"/>
      <x:c r="O109" s="2"/>
      <x:c r="P109" s="2"/>
      <x:c r="Q109" s="2"/>
    </x:row>
    <x:row r="110" ht="22" customHeight="1">
      <x:c r="A110" s="2"/>
      <x:c r="B110" s="2"/>
      <x:c r="C110" s="2"/>
      <x:c r="D110" s="3"/>
      <x:c r="E110" s="3"/>
      <x:c r="F110" s="3"/>
      <x:c r="G110" s="3"/>
      <x:c r="H110" s="3"/>
      <x:c r="I110" s="3"/>
      <x:c r="J110" s="2"/>
      <x:c r="K110" s="2"/>
      <x:c r="L110" s="2"/>
      <x:c r="M110" s="2"/>
      <x:c r="N110" s="2"/>
      <x:c r="O110" s="2"/>
      <x:c r="P110" s="2"/>
      <x:c r="Q110" s="2"/>
    </x:row>
    <x:row r="111" ht="22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 ht="22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 ht="22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 ht="22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 ht="22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 ht="22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 ht="22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 ht="22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 ht="22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 ht="22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</x:sheetData>
  <x:conditionalFormatting sqref="L13:P17">
    <x:cfRule type="colorScale" priority="1">
      <x:colorScale>
        <x:cfvo type="min"/>
        <x:cfvo type="percentile" val="50"/>
        <x:cfvo type="max"/>
        <x:color rgb="FFF5D8D8"/>
        <x:color rgb="FFFFF3D6"/>
        <x:color rgb="FFCDE2D5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3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2" customHeight="1">
      <x:c r="A2" s="2"/>
      <x:c r="B2" s="2"/>
      <x:c r="C2" s="4" t="str">
        <x:v>Property NAV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</x:row>
    <x:row r="3" ht="22" customHeight="1">
      <x:c r="A3" s="2"/>
      <x:c r="B3" s="2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</x:row>
    <x:row r="4" ht="22" customHeight="1">
      <x:c r="A4" s="2"/>
      <x:c r="B4" s="2"/>
      <x:c r="C4" s="2" t="str">
        <x:v>USD millions | FY2025 historical; 2026–2030 forecast</x:v>
      </x:c>
      <x:c r="D4" s="2"/>
      <x:c r="E4" s="2"/>
      <x:c r="F4" s="2"/>
      <x:c r="G4" s="2"/>
      <x:c r="H4" s="2"/>
      <x:c r="I4" s="2"/>
      <x:c r="J4" s="2"/>
      <x:c r="K4" s="2" t="str">
        <x:v>Case Selected:</x:v>
      </x:c>
      <x:c r="L4" s="8" t="str">
        <x:f>CHOOSE(Assumptions!$D$5,"Base","Upside","Downside")</x:f>
        <x:v>Base</x:v>
      </x:c>
      <x:c r="M4" s="2"/>
      <x:c r="N4" s="2"/>
      <x:c r="O4" s="2"/>
      <x:c r="P4" s="2"/>
      <x:c r="Q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2" customHeight="1">
      <x:c r="A6" s="2"/>
      <x:c r="B6" s="2"/>
      <x:c r="C6" s="13" t="str">
        <x:v>Core property</x:v>
      </x:c>
      <x:c r="D6" s="14" t="str">
        <x:v>State</x:v>
      </x:c>
      <x:c r="E6" s="14" t="str">
        <x:v>Rooms</x:v>
      </x:c>
      <x:c r="F6" s="14" t="str">
        <x:v>2025 revenue</x:v>
      </x:c>
      <x:c r="G6" s="14" t="str">
        <x:v>Hotel EBITDA</x:v>
      </x:c>
      <x:c r="H6" s="14" t="str">
        <x:v>NOI proxy</x:v>
      </x:c>
      <x:c r="I6" s="14" t="str">
        <x:v>Gross value</x:v>
      </x:c>
      <x:c r="J6" s="2"/>
      <x:c r="K6" s="2"/>
      <x:c r="L6" s="2"/>
      <x:c r="M6" s="2"/>
      <x:c r="N6" s="2"/>
      <x:c r="O6" s="2"/>
      <x:c r="P6" s="2"/>
      <x:c r="Q6" s="2"/>
    </x:row>
    <x:row r="7" ht="22" customHeight="1">
      <x:c r="A7" s="2"/>
      <x:c r="B7" s="2"/>
      <x:c r="C7" s="2" t="str">
        <x:v>Hilton Hawaiian Village</x:v>
      </x:c>
      <x:c r="D7" s="40" t="str">
        <x:v>HI</x:v>
      </x:c>
      <x:c r="E7" s="51" t="n">
        <x:v>2872</x:v>
      </x:c>
      <x:c r="F7" s="10" t="n">
        <x:v>405</x:v>
      </x:c>
      <x:c r="G7" s="10" t="n">
        <x:v>142</x:v>
      </x:c>
      <x:c r="H7" s="26" t="n">
        <x:f>G7-F7*Assumptions!$D$23</x:f>
        <x:v>125.8</x:v>
      </x:c>
      <x:c r="I7" s="26" t="n">
        <x:f>H7/Assumptions!$D$22</x:f>
        <x:v>1479.9999999999998</x:v>
      </x:c>
      <x:c r="J7" s="2"/>
      <x:c r="K7" s="2" t="str">
        <x:v>PKSUP pp. 19, 24</x:v>
      </x:c>
      <x:c r="L7" s="2"/>
      <x:c r="M7" s="2"/>
      <x:c r="N7" s="2"/>
      <x:c r="O7" s="2"/>
      <x:c r="P7" s="2"/>
      <x:c r="Q7" s="2"/>
    </x:row>
    <x:row r="8" ht="22" customHeight="1">
      <x:c r="A8" s="2"/>
      <x:c r="B8" s="2"/>
      <x:c r="C8" s="2" t="str">
        <x:v>Hilton Waikoloa Village</x:v>
      </x:c>
      <x:c r="D8" s="40" t="str">
        <x:v>HI</x:v>
      </x:c>
      <x:c r="E8" s="51" t="n">
        <x:v>661</x:v>
      </x:c>
      <x:c r="F8" s="10" t="n">
        <x:v>117</x:v>
      </x:c>
      <x:c r="G8" s="10" t="n">
        <x:v>33</x:v>
      </x:c>
      <x:c r="H8" s="26" t="n">
        <x:f>G8-F8*Assumptions!$D$23</x:f>
        <x:v>28.32</x:v>
      </x:c>
      <x:c r="I8" s="26" t="n">
        <x:f>H8/Assumptions!$D$22</x:f>
        <x:v>333.17647058823525</x:v>
      </x:c>
      <x:c r="J8" s="2"/>
      <x:c r="K8" s="2" t="str">
        <x:v>PKSUP pp. 19, 24</x:v>
      </x:c>
      <x:c r="L8" s="2"/>
      <x:c r="M8" s="2"/>
      <x:c r="N8" s="2"/>
      <x:c r="O8" s="2"/>
      <x:c r="P8" s="2"/>
      <x:c r="Q8" s="2"/>
    </x:row>
    <x:row r="9" ht="22" customHeight="1">
      <x:c r="A9" s="2"/>
      <x:c r="B9" s="2"/>
      <x:c r="C9" s="2" t="str">
        <x:v>Signia Orlando Bonnet Creek</x:v>
      </x:c>
      <x:c r="D9" s="40" t="str">
        <x:v>FL</x:v>
      </x:c>
      <x:c r="E9" s="51" t="n">
        <x:v>1009</x:v>
      </x:c>
      <x:c r="F9" s="10" t="n">
        <x:v>173</x:v>
      </x:c>
      <x:c r="G9" s="10" t="n">
        <x:v>65</x:v>
      </x:c>
      <x:c r="H9" s="26" t="n">
        <x:f>G9-F9*Assumptions!$D$23</x:f>
        <x:v>58.08</x:v>
      </x:c>
      <x:c r="I9" s="26" t="n">
        <x:f>H9/Assumptions!$D$22</x:f>
        <x:v>683.2941176470588</x:v>
      </x:c>
      <x:c r="J9" s="2"/>
      <x:c r="K9" s="2" t="str">
        <x:v>PKSUP pp. 19, 24</x:v>
      </x:c>
      <x:c r="L9" s="2"/>
      <x:c r="M9" s="2"/>
      <x:c r="N9" s="2"/>
      <x:c r="O9" s="2"/>
      <x:c r="P9" s="2"/>
      <x:c r="Q9" s="2"/>
    </x:row>
    <x:row r="10" ht="22" customHeight="1">
      <x:c r="A10" s="2"/>
      <x:c r="B10" s="2"/>
      <x:c r="C10" s="2" t="str">
        <x:v>Waldorf Astoria Orlando</x:v>
      </x:c>
      <x:c r="D10" s="40" t="str">
        <x:v>FL</x:v>
      </x:c>
      <x:c r="E10" s="51" t="n">
        <x:v>502</x:v>
      </x:c>
      <x:c r="F10" s="10" t="n">
        <x:v>102</x:v>
      </x:c>
      <x:c r="G10" s="10" t="n">
        <x:v>32</x:v>
      </x:c>
      <x:c r="H10" s="26" t="n">
        <x:f>G10-F10*Assumptions!$D$23</x:f>
        <x:v>27.92</x:v>
      </x:c>
      <x:c r="I10" s="26" t="n">
        <x:f>H10/Assumptions!$D$22</x:f>
        <x:v>328.4705882352941</x:v>
      </x:c>
      <x:c r="J10" s="2"/>
      <x:c r="K10" s="2" t="str">
        <x:v>PKSUP pp. 19, 24</x:v>
      </x:c>
      <x:c r="L10" s="2"/>
      <x:c r="M10" s="2"/>
      <x:c r="N10" s="2"/>
      <x:c r="O10" s="2"/>
      <x:c r="P10" s="2"/>
      <x:c r="Q10" s="2"/>
    </x:row>
    <x:row r="11" ht="22" customHeight="1">
      <x:c r="A11" s="2"/>
      <x:c r="B11" s="2"/>
      <x:c r="C11" s="2" t="str">
        <x:v>New York Hilton Midtown</x:v>
      </x:c>
      <x:c r="D11" s="40" t="str">
        <x:v>NY</x:v>
      </x:c>
      <x:c r="E11" s="51" t="n">
        <x:v>1878</x:v>
      </x:c>
      <x:c r="F11" s="10" t="n">
        <x:v>309</x:v>
      </x:c>
      <x:c r="G11" s="10" t="n">
        <x:v>58</x:v>
      </x:c>
      <x:c r="H11" s="26" t="n">
        <x:f>G11-F11*Assumptions!$D$23</x:f>
        <x:v>45.64</x:v>
      </x:c>
      <x:c r="I11" s="26" t="n">
        <x:f>H11/Assumptions!$D$22</x:f>
        <x:v>536.9411764705882</x:v>
      </x:c>
      <x:c r="J11" s="2"/>
      <x:c r="K11" s="2" t="str">
        <x:v>PKSUP pp. 19, 24</x:v>
      </x:c>
      <x:c r="L11" s="2"/>
      <x:c r="M11" s="2"/>
      <x:c r="N11" s="2"/>
      <x:c r="O11" s="2"/>
      <x:c r="P11" s="2"/>
      <x:c r="Q11" s="2"/>
    </x:row>
    <x:row r="12" ht="22" customHeight="1">
      <x:c r="A12" s="2"/>
      <x:c r="B12" s="2"/>
      <x:c r="C12" s="2" t="str">
        <x:v>Hilton New Orleans Riverside</x:v>
      </x:c>
      <x:c r="D12" s="40" t="str">
        <x:v>LA</x:v>
      </x:c>
      <x:c r="E12" s="51" t="n">
        <x:v>1622</x:v>
      </x:c>
      <x:c r="F12" s="10" t="n">
        <x:v>150</x:v>
      </x:c>
      <x:c r="G12" s="10" t="n">
        <x:v>54</x:v>
      </x:c>
      <x:c r="H12" s="26" t="n">
        <x:f>G12-F12*Assumptions!$D$23</x:f>
        <x:v>48</x:v>
      </x:c>
      <x:c r="I12" s="26" t="n">
        <x:f>H12/Assumptions!$D$22</x:f>
        <x:v>564.7058823529411</x:v>
      </x:c>
      <x:c r="J12" s="2"/>
      <x:c r="K12" s="2" t="str">
        <x:v>PKSUP pp. 19, 24</x:v>
      </x:c>
      <x:c r="L12" s="2"/>
      <x:c r="M12" s="2"/>
      <x:c r="N12" s="2"/>
      <x:c r="O12" s="2"/>
      <x:c r="P12" s="2"/>
      <x:c r="Q12" s="2"/>
    </x:row>
    <x:row r="13" ht="22" customHeight="1">
      <x:c r="A13" s="2"/>
      <x:c r="B13" s="2"/>
      <x:c r="C13" s="2" t="str">
        <x:v>Caribe Hilton</x:v>
      </x:c>
      <x:c r="D13" s="40" t="str">
        <x:v>PR</x:v>
      </x:c>
      <x:c r="E13" s="51" t="n">
        <x:v>652</x:v>
      </x:c>
      <x:c r="F13" s="10" t="n">
        <x:v>92</x:v>
      </x:c>
      <x:c r="G13" s="10" t="n">
        <x:v>25</x:v>
      </x:c>
      <x:c r="H13" s="26" t="n">
        <x:f>G13-F13*Assumptions!$D$23</x:f>
        <x:v>21.32</x:v>
      </x:c>
      <x:c r="I13" s="26" t="n">
        <x:f>H13/Assumptions!$D$22</x:f>
        <x:v>250.8235294117647</x:v>
      </x:c>
      <x:c r="J13" s="2"/>
      <x:c r="K13" s="2" t="str">
        <x:v>PKSUP pp. 19, 24</x:v>
      </x:c>
      <x:c r="L13" s="2"/>
      <x:c r="M13" s="2"/>
      <x:c r="N13" s="2"/>
      <x:c r="O13" s="2"/>
      <x:c r="P13" s="2"/>
      <x:c r="Q13" s="2"/>
    </x:row>
    <x:row r="14" ht="22" customHeight="1">
      <x:c r="A14" s="2"/>
      <x:c r="B14" s="2"/>
      <x:c r="C14" s="2" t="str">
        <x:v>Hilton Boston Logan</x:v>
      </x:c>
      <x:c r="D14" s="40" t="str">
        <x:v>MA</x:v>
      </x:c>
      <x:c r="E14" s="51" t="n">
        <x:v>604</x:v>
      </x:c>
      <x:c r="F14" s="10" t="n">
        <x:v>64</x:v>
      </x:c>
      <x:c r="G14" s="10" t="n">
        <x:v>16</x:v>
      </x:c>
      <x:c r="H14" s="26" t="n">
        <x:f>G14-F14*Assumptions!$D$23</x:f>
        <x:v>13.44</x:v>
      </x:c>
      <x:c r="I14" s="26" t="n">
        <x:f>H14/Assumptions!$D$22</x:f>
        <x:v>158.1176470588235</x:v>
      </x:c>
      <x:c r="J14" s="2"/>
      <x:c r="K14" s="2" t="str">
        <x:v>PKSUP pp. 19, 24</x:v>
      </x:c>
      <x:c r="L14" s="2"/>
      <x:c r="M14" s="2"/>
      <x:c r="N14" s="2"/>
      <x:c r="O14" s="2"/>
      <x:c r="P14" s="2"/>
      <x:c r="Q14" s="2"/>
    </x:row>
    <x:row r="15" ht="22" customHeight="1">
      <x:c r="A15" s="2"/>
      <x:c r="B15" s="2"/>
      <x:c r="C15" s="2" t="str">
        <x:v>Hyatt Regency Boston</x:v>
      </x:c>
      <x:c r="D15" s="40" t="str">
        <x:v>MA</x:v>
      </x:c>
      <x:c r="E15" s="51" t="n">
        <x:v>502</x:v>
      </x:c>
      <x:c r="F15" s="10" t="n">
        <x:v>52</x:v>
      </x:c>
      <x:c r="G15" s="10" t="n">
        <x:v>18</x:v>
      </x:c>
      <x:c r="H15" s="26" t="n">
        <x:f>G15-F15*Assumptions!$D$23</x:f>
        <x:v>15.92</x:v>
      </x:c>
      <x:c r="I15" s="26" t="n">
        <x:f>H15/Assumptions!$D$22</x:f>
        <x:v>187.2941176470588</x:v>
      </x:c>
      <x:c r="J15" s="2"/>
      <x:c r="K15" s="2" t="str">
        <x:v>PKSUP pp. 19, 24</x:v>
      </x:c>
      <x:c r="L15" s="2"/>
      <x:c r="M15" s="2"/>
      <x:c r="N15" s="2"/>
      <x:c r="O15" s="2"/>
      <x:c r="P15" s="2"/>
      <x:c r="Q15" s="2"/>
    </x:row>
    <x:row r="16" ht="22" customHeight="1">
      <x:c r="A16" s="2"/>
      <x:c r="B16" s="2"/>
      <x:c r="C16" s="2" t="str">
        <x:v>Hilton Santa Barbara</x:v>
      </x:c>
      <x:c r="D16" s="40" t="str">
        <x:v>CA</x:v>
      </x:c>
      <x:c r="E16" s="51" t="n">
        <x:v>360</x:v>
      </x:c>
      <x:c r="F16" s="10" t="n">
        <x:v>48</x:v>
      </x:c>
      <x:c r="G16" s="10" t="n">
        <x:v>21</x:v>
      </x:c>
      <x:c r="H16" s="26" t="n">
        <x:f>G16-F16*Assumptions!$D$23</x:f>
        <x:v>19.08</x:v>
      </x:c>
      <x:c r="I16" s="26" t="n">
        <x:f>H16/Assumptions!$D$22</x:f>
        <x:v>224.4705882352941</x:v>
      </x:c>
      <x:c r="J16" s="2"/>
      <x:c r="K16" s="2" t="str">
        <x:v>PKSUP pp. 19, 24</x:v>
      </x:c>
      <x:c r="L16" s="2"/>
      <x:c r="M16" s="2"/>
      <x:c r="N16" s="2"/>
      <x:c r="O16" s="2"/>
      <x:c r="P16" s="2"/>
      <x:c r="Q16" s="2"/>
    </x:row>
    <x:row r="17" ht="22" customHeight="1">
      <x:c r="A17" s="2"/>
      <x:c r="B17" s="2"/>
      <x:c r="C17" s="2" t="str">
        <x:v>Hyatt Regency Mission Bay</x:v>
      </x:c>
      <x:c r="D17" s="40" t="str">
        <x:v>CA</x:v>
      </x:c>
      <x:c r="E17" s="51" t="n">
        <x:v>438</x:v>
      </x:c>
      <x:c r="F17" s="10" t="n">
        <x:v>53</x:v>
      </x:c>
      <x:c r="G17" s="10" t="n">
        <x:v>11</x:v>
      </x:c>
      <x:c r="H17" s="26" t="n">
        <x:f>G17-F17*Assumptions!$D$23</x:f>
        <x:v>8.879999999999999</x:v>
      </x:c>
      <x:c r="I17" s="26" t="n">
        <x:f>H17/Assumptions!$D$22</x:f>
        <x:v>104.4705882352941</x:v>
      </x:c>
      <x:c r="J17" s="2"/>
      <x:c r="K17" s="2" t="str">
        <x:v>PKSUP pp. 19, 24</x:v>
      </x:c>
      <x:c r="L17" s="2"/>
      <x:c r="M17" s="2"/>
      <x:c r="N17" s="2"/>
      <x:c r="O17" s="2"/>
      <x:c r="P17" s="2"/>
      <x:c r="Q17" s="2"/>
    </x:row>
    <x:row r="18" ht="22" customHeight="1">
      <x:c r="A18" s="2"/>
      <x:c r="B18" s="2"/>
      <x:c r="C18" s="2" t="str">
        <x:v>Casa Marina Key West</x:v>
      </x:c>
      <x:c r="D18" s="40" t="str">
        <x:v>FL</x:v>
      </x:c>
      <x:c r="E18" s="51" t="n">
        <x:v>311</x:v>
      </x:c>
      <x:c r="F18" s="10" t="n">
        <x:v>79</x:v>
      </x:c>
      <x:c r="G18" s="10" t="n">
        <x:v>34</x:v>
      </x:c>
      <x:c r="H18" s="26" t="n">
        <x:f>G18-F18*Assumptions!$D$23</x:f>
        <x:v>30.84</x:v>
      </x:c>
      <x:c r="I18" s="26" t="n">
        <x:f>H18/Assumptions!$D$22</x:f>
        <x:v>362.8235294117647</x:v>
      </x:c>
      <x:c r="J18" s="2"/>
      <x:c r="K18" s="2" t="str">
        <x:v>PKSUP pp. 19, 24</x:v>
      </x:c>
      <x:c r="L18" s="2"/>
      <x:c r="M18" s="2"/>
      <x:c r="N18" s="2"/>
      <x:c r="O18" s="2"/>
      <x:c r="P18" s="2"/>
      <x:c r="Q18" s="2"/>
    </x:row>
    <x:row r="19" ht="22" customHeight="1">
      <x:c r="A19" s="2"/>
      <x:c r="B19" s="2"/>
      <x:c r="C19" s="2" t="str">
        <x:v>The Reach Key West</x:v>
      </x:c>
      <x:c r="D19" s="40" t="str">
        <x:v>FL</x:v>
      </x:c>
      <x:c r="E19" s="51" t="n">
        <x:v>150</x:v>
      </x:c>
      <x:c r="F19" s="10" t="n">
        <x:v>32</x:v>
      </x:c>
      <x:c r="G19" s="10" t="n">
        <x:v>12</x:v>
      </x:c>
      <x:c r="H19" s="26" t="n">
        <x:f>G19-F19*Assumptions!$D$23</x:f>
        <x:v>10.72</x:v>
      </x:c>
      <x:c r="I19" s="26" t="n">
        <x:f>H19/Assumptions!$D$22</x:f>
        <x:v>126.11764705882352</x:v>
      </x:c>
      <x:c r="J19" s="2"/>
      <x:c r="K19" s="2" t="str">
        <x:v>PKSUP pp. 19, 24</x:v>
      </x:c>
      <x:c r="L19" s="2"/>
      <x:c r="M19" s="2"/>
      <x:c r="N19" s="2"/>
      <x:c r="O19" s="2"/>
      <x:c r="P19" s="2"/>
      <x:c r="Q19" s="2"/>
    </x:row>
    <x:row r="20" ht="22" customHeight="1">
      <x:c r="A20" s="2"/>
      <x:c r="B20" s="2"/>
      <x:c r="C20" s="2" t="str">
        <x:v>Hilton Chicago</x:v>
      </x:c>
      <x:c r="D20" s="40" t="str">
        <x:v>IL</x:v>
      </x:c>
      <x:c r="E20" s="51" t="n">
        <x:v>1544</x:v>
      </x:c>
      <x:c r="F20" s="10" t="n">
        <x:v>140</x:v>
      </x:c>
      <x:c r="G20" s="10" t="n">
        <x:v>25</x:v>
      </x:c>
      <x:c r="H20" s="26" t="n">
        <x:f>G20-F20*Assumptions!$D$23</x:f>
        <x:v>19.4</x:v>
      </x:c>
      <x:c r="I20" s="26" t="n">
        <x:f>H20/Assumptions!$D$22</x:f>
        <x:v>228.23529411764702</x:v>
      </x:c>
      <x:c r="J20" s="2"/>
      <x:c r="K20" s="2" t="str">
        <x:v>PKSUP pp. 19, 24</x:v>
      </x:c>
      <x:c r="L20" s="2"/>
      <x:c r="M20" s="2"/>
      <x:c r="N20" s="2"/>
      <x:c r="O20" s="2"/>
      <x:c r="P20" s="2"/>
      <x:c r="Q20" s="2"/>
    </x:row>
    <x:row r="21" ht="22" customHeight="1">
      <x:c r="A21" s="2"/>
      <x:c r="B21" s="2"/>
      <x:c r="C21" s="2" t="str">
        <x:v>Hilton Denver City Center</x:v>
      </x:c>
      <x:c r="D21" s="40" t="str">
        <x:v>CO</x:v>
      </x:c>
      <x:c r="E21" s="51" t="n">
        <x:v>613</x:v>
      </x:c>
      <x:c r="F21" s="10" t="n">
        <x:v>42</x:v>
      </x:c>
      <x:c r="G21" s="10" t="n">
        <x:v>13</x:v>
      </x:c>
      <x:c r="H21" s="26" t="n">
        <x:f>G21-F21*Assumptions!$D$23</x:f>
        <x:v>11.32</x:v>
      </x:c>
      <x:c r="I21" s="26" t="n">
        <x:f>H21/Assumptions!$D$22</x:f>
        <x:v>133.17647058823528</x:v>
      </x:c>
      <x:c r="J21" s="2"/>
      <x:c r="K21" s="2" t="str">
        <x:v>PKSUP pp. 19, 24</x:v>
      </x:c>
      <x:c r="L21" s="2"/>
      <x:c r="M21" s="2"/>
      <x:c r="N21" s="2"/>
      <x:c r="O21" s="2"/>
      <x:c r="P21" s="2"/>
      <x:c r="Q21" s="2"/>
    </x:row>
    <x:row r="22" ht="22" customHeight="1">
      <x:c r="A22" s="2"/>
      <x:c r="B22" s="2"/>
      <x:c r="C22" s="2" t="str">
        <x:v>Royal Palm South Beach</x:v>
      </x:c>
      <x:c r="D22" s="40" t="str">
        <x:v>FL</x:v>
      </x:c>
      <x:c r="E22" s="51" t="n">
        <x:v>393</x:v>
      </x:c>
      <x:c r="F22" s="10" t="n">
        <x:v>19</x:v>
      </x:c>
      <x:c r="G22" s="10" t="n">
        <x:v>5</x:v>
      </x:c>
      <x:c r="H22" s="26" t="n">
        <x:f>G22-F22*Assumptions!$D$23</x:f>
        <x:v>4.24</x:v>
      </x:c>
      <x:c r="I22" s="26" t="n">
        <x:f>H22/Assumptions!$D$22</x:f>
        <x:v>49.88235294117647</x:v>
      </x:c>
      <x:c r="J22" s="2"/>
      <x:c r="K22" s="2" t="str">
        <x:v>PKSUP pp. 19, 24</x:v>
      </x:c>
      <x:c r="L22" s="2"/>
      <x:c r="M22" s="2"/>
      <x:c r="N22" s="2"/>
      <x:c r="O22" s="2"/>
      <x:c r="P22" s="2"/>
      <x:c r="Q22" s="2"/>
    </x:row>
    <x:row r="23" ht="22" customHeight="1">
      <x:c r="A23" s="2"/>
      <x:c r="B23" s="2"/>
      <x:c r="C23" s="2" t="str">
        <x:v>DoubleTree Crystal City</x:v>
      </x:c>
      <x:c r="D23" s="40" t="str">
        <x:v>VA</x:v>
      </x:c>
      <x:c r="E23" s="51" t="n">
        <x:v>627</x:v>
      </x:c>
      <x:c r="F23" s="10" t="n">
        <x:v>39</x:v>
      </x:c>
      <x:c r="G23" s="10" t="n">
        <x:v>8</x:v>
      </x:c>
      <x:c r="H23" s="26" t="n">
        <x:f>G23-F23*Assumptions!$D$23</x:f>
        <x:v>6.4399999999999995</x:v>
      </x:c>
      <x:c r="I23" s="26" t="n">
        <x:f>H23/Assumptions!$D$22</x:f>
        <x:v>75.76470588235293</x:v>
      </x:c>
      <x:c r="J23" s="2"/>
      <x:c r="K23" s="2" t="str">
        <x:v>PKSUP pp. 19, 24</x:v>
      </x:c>
      <x:c r="L23" s="2"/>
      <x:c r="M23" s="2"/>
      <x:c r="N23" s="2"/>
      <x:c r="O23" s="2"/>
      <x:c r="P23" s="2"/>
      <x:c r="Q23" s="2"/>
    </x:row>
    <x:row r="24" ht="22" customHeight="1">
      <x:c r="A24" s="2"/>
      <x:c r="B24" s="2"/>
      <x:c r="C24" s="2" t="str">
        <x:v>Hilton McLean Tysons</x:v>
      </x:c>
      <x:c r="D24" s="40" t="str">
        <x:v>VA</x:v>
      </x:c>
      <x:c r="E24" s="51" t="n">
        <x:v>458</x:v>
      </x:c>
      <x:c r="F24" s="10" t="n">
        <x:v>38</x:v>
      </x:c>
      <x:c r="G24" s="10" t="n">
        <x:v>7</x:v>
      </x:c>
      <x:c r="H24" s="26" t="n">
        <x:f>G24-F24*Assumptions!$D$23</x:f>
        <x:v>5.48</x:v>
      </x:c>
      <x:c r="I24" s="26" t="n">
        <x:f>H24/Assumptions!$D$22</x:f>
        <x:v>64.47058823529412</x:v>
      </x:c>
      <x:c r="J24" s="2"/>
      <x:c r="K24" s="2" t="str">
        <x:v>PKSUP pp. 19, 24</x:v>
      </x:c>
      <x:c r="L24" s="2"/>
      <x:c r="M24" s="2"/>
      <x:c r="N24" s="2"/>
      <x:c r="O24" s="2"/>
      <x:c r="P24" s="2"/>
      <x:c r="Q24" s="2"/>
    </x:row>
    <x:row r="25" ht="22" customHeight="1">
      <x:c r="A25" s="2"/>
      <x:c r="B25" s="2"/>
      <x:c r="C25" s="2" t="str">
        <x:v>JW Marriott San Francisco</x:v>
      </x:c>
      <x:c r="D25" s="40" t="str">
        <x:v>CA</x:v>
      </x:c>
      <x:c r="E25" s="51" t="n">
        <x:v>344</x:v>
      </x:c>
      <x:c r="F25" s="10" t="n">
        <x:v>38</x:v>
      </x:c>
      <x:c r="G25" s="10" t="n">
        <x:v>5</x:v>
      </x:c>
      <x:c r="H25" s="26" t="n">
        <x:f>G25-F25*Assumptions!$D$23</x:f>
        <x:v>3.48</x:v>
      </x:c>
      <x:c r="I25" s="26" t="n">
        <x:f>H25/Assumptions!$D$22</x:f>
        <x:v>40.94117647058823</x:v>
      </x:c>
      <x:c r="J25" s="2"/>
      <x:c r="K25" s="2" t="str">
        <x:v>PKSUP pp. 19, 24</x:v>
      </x:c>
      <x:c r="L25" s="2"/>
      <x:c r="M25" s="2"/>
      <x:c r="N25" s="2"/>
      <x:c r="O25" s="2"/>
      <x:c r="P25" s="2"/>
      <x:c r="Q25" s="2"/>
    </x:row>
    <x:row r="26" ht="22" customHeight="1">
      <x:c r="A26" s="2"/>
      <x:c r="B26" s="2"/>
      <x:c r="C26" s="2" t="str">
        <x:v>Juniper Cupertino</x:v>
      </x:c>
      <x:c r="D26" s="40" t="str">
        <x:v>CA</x:v>
      </x:c>
      <x:c r="E26" s="51" t="n">
        <x:v>224</x:v>
      </x:c>
      <x:c r="F26" s="10" t="n">
        <x:v>14</x:v>
      </x:c>
      <x:c r="G26" s="10" t="n">
        <x:v>2</x:v>
      </x:c>
      <x:c r="H26" s="26" t="n">
        <x:f>G26-F26*Assumptions!$D$23</x:f>
        <x:v>1.44</x:v>
      </x:c>
      <x:c r="I26" s="26" t="n">
        <x:f>H26/Assumptions!$D$22</x:f>
        <x:v>16.941176470588232</x:v>
      </x:c>
      <x:c r="J26" s="2"/>
      <x:c r="K26" s="2" t="str">
        <x:v>PKSUP pp. 19, 24</x:v>
      </x:c>
      <x:c r="L26" s="2"/>
      <x:c r="M26" s="2"/>
      <x:c r="N26" s="2"/>
      <x:c r="O26" s="2"/>
      <x:c r="P26" s="2"/>
      <x:c r="Q26" s="2"/>
    </x:row>
    <x:row r="27" ht="22" customHeight="1">
      <x:c r="A27" s="2"/>
      <x:c r="B27" s="2"/>
      <x:c r="C27" s="2"/>
      <x:c r="D27" s="3"/>
      <x:c r="E27" s="52"/>
      <x:c r="F27" s="3"/>
      <x:c r="G27" s="3"/>
      <x:c r="H27" s="3"/>
      <x:c r="I27" s="3"/>
      <x:c r="J27" s="2"/>
      <x:c r="K27" s="2"/>
      <x:c r="L27" s="2"/>
      <x:c r="M27" s="2"/>
      <x:c r="N27" s="2"/>
      <x:c r="O27" s="2"/>
      <x:c r="P27" s="2"/>
      <x:c r="Q27" s="2"/>
    </x:row>
    <x:row r="28" ht="22" customHeight="1">
      <x:c r="A28" s="2"/>
      <x:c r="B28" s="2"/>
      <x:c r="C28" s="2" t="str">
        <x:v>Core subtotal from rounded property rows</x:v>
      </x:c>
      <x:c r="D28" s="3"/>
      <x:c r="E28" s="53" t="n">
        <x:f>SUM(E7:E26)</x:f>
        <x:v>15764</x:v>
      </x:c>
      <x:c r="F28" s="27" t="n">
        <x:f>SUM(F7:F26)</x:f>
        <x:v>2006</x:v>
      </x:c>
      <x:c r="G28" s="27" t="n">
        <x:f>SUM(G7:G26)</x:f>
        <x:v>586</x:v>
      </x:c>
      <x:c r="H28" s="27" t="n">
        <x:f>SUM(H7:H26)</x:f>
        <x:v>505.76</x:v>
      </x:c>
      <x:c r="I28" s="27" t="n">
        <x:f>SUM(I7:I26)</x:f>
        <x:v>5950.117647058822</x:v>
      </x:c>
      <x:c r="J28" s="2"/>
      <x:c r="K28" s="2"/>
      <x:c r="L28" s="2"/>
      <x:c r="M28" s="2"/>
      <x:c r="N28" s="2"/>
      <x:c r="O28" s="2"/>
      <x:c r="P28" s="2"/>
      <x:c r="Q28" s="2"/>
    </x:row>
    <x:row r="29" ht="22" customHeight="1">
      <x:c r="A29" s="2"/>
      <x:c r="B29" s="2"/>
      <x:c r="C29" s="2"/>
      <x:c r="D29" s="3"/>
      <x:c r="E29" s="3"/>
      <x:c r="F29" s="3"/>
      <x:c r="G29" s="3"/>
      <x:c r="H29" s="3"/>
      <x:c r="I29" s="3"/>
      <x:c r="J29" s="2"/>
      <x:c r="K29" s="2"/>
      <x:c r="L29" s="2"/>
      <x:c r="M29" s="2"/>
      <x:c r="N29" s="2"/>
      <x:c r="O29" s="2"/>
      <x:c r="P29" s="2"/>
      <x:c r="Q29" s="2"/>
    </x:row>
    <x:row r="30" ht="22" customHeight="1">
      <x:c r="A30" s="2"/>
      <x:c r="B30" s="2"/>
      <x:c r="C30" s="2" t="str">
        <x:v>Rounded EBITDA vs. disclosed core total</x:v>
      </x:c>
      <x:c r="D30" s="3"/>
      <x:c r="E30" s="3"/>
      <x:c r="F30" s="3"/>
      <x:c r="G30" s="54" t="n">
        <x:f>G28-Historical!$D$69</x:f>
        <x:v>0</x:v>
      </x:c>
      <x:c r="H30" s="3"/>
      <x:c r="I30" s="3"/>
      <x:c r="J30" s="2"/>
      <x:c r="K30" s="2"/>
      <x:c r="L30" s="2"/>
      <x:c r="M30" s="2"/>
      <x:c r="N30" s="2"/>
      <x:c r="O30" s="2"/>
      <x:c r="P30" s="2"/>
      <x:c r="Q30" s="2"/>
    </x:row>
    <x:row r="31" ht="22" customHeight="1">
      <x:c r="A31" s="2"/>
      <x:c r="B31" s="2"/>
      <x:c r="C31" s="2"/>
      <x:c r="D31" s="3"/>
      <x:c r="E31" s="3"/>
      <x:c r="F31" s="3"/>
      <x:c r="G31" s="3"/>
      <x:c r="H31" s="3"/>
      <x:c r="I31" s="3"/>
      <x:c r="J31" s="2"/>
      <x:c r="K31" s="2"/>
      <x:c r="L31" s="2"/>
      <x:c r="M31" s="2"/>
      <x:c r="N31" s="2"/>
      <x:c r="O31" s="2"/>
      <x:c r="P31" s="2"/>
      <x:c r="Q31" s="2"/>
    </x:row>
    <x:row r="32" ht="22" customHeight="1">
      <x:c r="A32" s="2"/>
      <x:c r="B32" s="2"/>
      <x:c r="C32" s="2"/>
      <x:c r="D32" s="3"/>
      <x:c r="E32" s="3"/>
      <x:c r="F32" s="3"/>
      <x:c r="G32" s="3"/>
      <x:c r="H32" s="3"/>
      <x:c r="I32" s="3"/>
      <x:c r="J32" s="2"/>
      <x:c r="K32" s="2"/>
      <x:c r="L32" s="2"/>
      <x:c r="M32" s="2"/>
      <x:c r="N32" s="2"/>
      <x:c r="O32" s="2"/>
      <x:c r="P32" s="2"/>
      <x:c r="Q32" s="2"/>
    </x:row>
    <x:row r="33" ht="22" customHeight="1">
      <x:c r="A33" s="2"/>
      <x:c r="B33" s="2"/>
      <x:c r="C33" s="19" t="str">
        <x:v>NOI proxy = hotel EBITDA less a 4% revenue FF&amp;E reserve; cap rate is an analyst assumption.</x:v>
      </x:c>
      <x:c r="D33" s="20"/>
      <x:c r="E33" s="20"/>
      <x:c r="F33" s="20"/>
      <x:c r="G33" s="20"/>
      <x:c r="H33" s="20"/>
      <x:c r="I33" s="20"/>
      <x:c r="J33" s="19"/>
      <x:c r="K33" s="19"/>
      <x:c r="L33" s="19"/>
      <x:c r="M33" s="19"/>
      <x:c r="N33" s="2"/>
      <x:c r="O33" s="2"/>
      <x:c r="P33" s="2"/>
      <x:c r="Q33" s="2"/>
    </x:row>
    <x:row r="34" ht="22" customHeight="1">
      <x:c r="A34" s="2"/>
      <x:c r="B34" s="2"/>
      <x:c r="C34" s="2"/>
      <x:c r="D34" s="3"/>
      <x:c r="E34" s="3"/>
      <x:c r="F34" s="3"/>
      <x:c r="G34" s="3"/>
      <x:c r="H34" s="3"/>
      <x:c r="I34" s="3"/>
      <x:c r="J34" s="2"/>
      <x:c r="K34" s="2"/>
      <x:c r="L34" s="2"/>
      <x:c r="M34" s="2"/>
      <x:c r="N34" s="2"/>
      <x:c r="O34" s="2"/>
      <x:c r="P34" s="2"/>
      <x:c r="Q34" s="2"/>
    </x:row>
    <x:row r="35" ht="22" customHeight="1">
      <x:c r="A35" s="2"/>
      <x:c r="B35" s="2"/>
      <x:c r="C35" s="19" t="str">
        <x:v>Core assets only: excludes non-core assets, JVs, corporate overhead and net debt. Not whole-company NAV.</x:v>
      </x:c>
      <x:c r="D35" s="20"/>
      <x:c r="E35" s="20"/>
      <x:c r="F35" s="20"/>
      <x:c r="G35" s="20"/>
      <x:c r="H35" s="20"/>
      <x:c r="I35" s="20"/>
      <x:c r="J35" s="19"/>
      <x:c r="K35" s="19"/>
      <x:c r="L35" s="19"/>
      <x:c r="M35" s="19"/>
      <x:c r="N35" s="2"/>
      <x:c r="O35" s="2"/>
      <x:c r="P35" s="2"/>
      <x:c r="Q35" s="2"/>
    </x:row>
    <x:row r="36" ht="22" customHeight="1">
      <x:c r="A36" s="2"/>
      <x:c r="B36" s="2"/>
      <x:c r="C36" s="2"/>
      <x:c r="D36" s="3"/>
      <x:c r="E36" s="3"/>
      <x:c r="F36" s="3"/>
      <x:c r="G36" s="3"/>
      <x:c r="H36" s="3"/>
      <x:c r="I36" s="3"/>
      <x:c r="J36" s="2"/>
      <x:c r="K36" s="2"/>
      <x:c r="L36" s="2"/>
      <x:c r="M36" s="2"/>
      <x:c r="N36" s="2"/>
      <x:c r="O36" s="2"/>
      <x:c r="P36" s="2"/>
      <x:c r="Q36" s="2"/>
    </x:row>
    <x:row r="37" ht="22" customHeight="1">
      <x:c r="A37" s="2"/>
      <x:c r="B37" s="2"/>
      <x:c r="C37" s="19" t="str">
        <x:v>Rooms reflect the February 19, 2026 portfolio; earnings are FY2025. Rounded property sums differ from totals.</x:v>
      </x:c>
      <x:c r="D37" s="20"/>
      <x:c r="E37" s="20"/>
      <x:c r="F37" s="20"/>
      <x:c r="G37" s="20"/>
      <x:c r="H37" s="20"/>
      <x:c r="I37" s="20"/>
      <x:c r="J37" s="19"/>
      <x:c r="K37" s="19"/>
      <x:c r="L37" s="19"/>
      <x:c r="M37" s="19"/>
      <x:c r="N37" s="2"/>
      <x:c r="O37" s="2"/>
      <x:c r="P37" s="2"/>
      <x:c r="Q37" s="2"/>
    </x:row>
    <x:row r="38" ht="22" customHeight="1">
      <x:c r="A38" s="2"/>
      <x:c r="B38" s="2"/>
      <x:c r="C38" s="2"/>
      <x:c r="D38" s="3"/>
      <x:c r="E38" s="3"/>
      <x:c r="F38" s="3"/>
      <x:c r="G38" s="3"/>
      <x:c r="H38" s="3"/>
      <x:c r="I38" s="3"/>
      <x:c r="J38" s="2"/>
      <x:c r="K38" s="2"/>
      <x:c r="L38" s="2"/>
      <x:c r="M38" s="2"/>
      <x:c r="N38" s="2"/>
      <x:c r="O38" s="2"/>
      <x:c r="P38" s="2"/>
      <x:c r="Q38" s="2"/>
    </x:row>
    <x:row r="39" ht="22" customHeight="1">
      <x:c r="A39" s="2"/>
      <x:c r="B39" s="2"/>
      <x:c r="C39" s="2"/>
      <x:c r="D39" s="3"/>
      <x:c r="E39" s="3"/>
      <x:c r="F39" s="3"/>
      <x:c r="G39" s="3"/>
      <x:c r="H39" s="3"/>
      <x:c r="I39" s="3"/>
      <x:c r="J39" s="2"/>
      <x:c r="K39" s="2"/>
      <x:c r="L39" s="2"/>
      <x:c r="M39" s="2"/>
      <x:c r="N39" s="2"/>
      <x:c r="O39" s="2"/>
      <x:c r="P39" s="2"/>
      <x:c r="Q39" s="2"/>
    </x:row>
    <x:row r="40" ht="22" customHeight="1">
      <x:c r="A40" s="2"/>
      <x:c r="B40" s="2"/>
      <x:c r="C40" s="2"/>
      <x:c r="D40" s="3"/>
      <x:c r="E40" s="3"/>
      <x:c r="F40" s="3"/>
      <x:c r="G40" s="3"/>
      <x:c r="H40" s="3"/>
      <x:c r="I40" s="3"/>
      <x:c r="J40" s="2"/>
      <x:c r="K40" s="2"/>
      <x:c r="L40" s="2"/>
      <x:c r="M40" s="2"/>
      <x:c r="N40" s="2"/>
      <x:c r="O40" s="2"/>
      <x:c r="P40" s="2"/>
      <x:c r="Q40" s="2"/>
    </x:row>
    <x:row r="41" ht="22" customHeight="1">
      <x:c r="A41" s="2"/>
      <x:c r="B41" s="2"/>
      <x:c r="C41" s="2"/>
      <x:c r="D41" s="3"/>
      <x:c r="E41" s="3"/>
      <x:c r="F41" s="3"/>
      <x:c r="G41" s="3"/>
      <x:c r="H41" s="3"/>
      <x:c r="I41" s="3"/>
      <x:c r="J41" s="2"/>
      <x:c r="K41" s="2"/>
      <x:c r="L41" s="2"/>
      <x:c r="M41" s="2"/>
      <x:c r="N41" s="2"/>
      <x:c r="O41" s="2"/>
      <x:c r="P41" s="2"/>
      <x:c r="Q41" s="2"/>
    </x:row>
    <x:row r="42" ht="22" customHeight="1">
      <x:c r="A42" s="2"/>
      <x:c r="B42" s="2"/>
      <x:c r="C42" s="2"/>
      <x:c r="D42" s="3"/>
      <x:c r="E42" s="3"/>
      <x:c r="F42" s="3"/>
      <x:c r="G42" s="3"/>
      <x:c r="H42" s="3"/>
      <x:c r="I42" s="3"/>
      <x:c r="J42" s="2"/>
      <x:c r="K42" s="2"/>
      <x:c r="L42" s="2"/>
      <x:c r="M42" s="2"/>
      <x:c r="N42" s="2"/>
      <x:c r="O42" s="2"/>
      <x:c r="P42" s="2"/>
      <x:c r="Q42" s="2"/>
    </x:row>
    <x:row r="43" ht="22" customHeight="1">
      <x:c r="A43" s="2"/>
      <x:c r="B43" s="2"/>
      <x:c r="C43" s="2"/>
      <x:c r="D43" s="3"/>
      <x:c r="E43" s="3"/>
      <x:c r="F43" s="3"/>
      <x:c r="G43" s="3"/>
      <x:c r="H43" s="3"/>
      <x:c r="I43" s="3"/>
      <x:c r="J43" s="2"/>
      <x:c r="K43" s="2"/>
      <x:c r="L43" s="2"/>
      <x:c r="M43" s="2"/>
      <x:c r="N43" s="2"/>
      <x:c r="O43" s="2"/>
      <x:c r="P43" s="2"/>
      <x:c r="Q43" s="2"/>
    </x:row>
    <x:row r="44" ht="22" customHeight="1">
      <x:c r="A44" s="2"/>
      <x:c r="B44" s="2"/>
      <x:c r="C44" s="2"/>
      <x:c r="D44" s="3"/>
      <x:c r="E44" s="3"/>
      <x:c r="F44" s="3"/>
      <x:c r="G44" s="3"/>
      <x:c r="H44" s="3"/>
      <x:c r="I44" s="3"/>
      <x:c r="J44" s="2"/>
      <x:c r="K44" s="2"/>
      <x:c r="L44" s="2"/>
      <x:c r="M44" s="2"/>
      <x:c r="N44" s="2"/>
      <x:c r="O44" s="2"/>
      <x:c r="P44" s="2"/>
      <x:c r="Q44" s="2"/>
    </x:row>
    <x:row r="45" ht="22" customHeight="1">
      <x:c r="A45" s="2"/>
      <x:c r="B45" s="2"/>
      <x:c r="C45" s="2"/>
      <x:c r="D45" s="3"/>
      <x:c r="E45" s="3"/>
      <x:c r="F45" s="3"/>
      <x:c r="G45" s="3"/>
      <x:c r="H45" s="3"/>
      <x:c r="I45" s="3"/>
      <x:c r="J45" s="2"/>
      <x:c r="K45" s="2"/>
      <x:c r="L45" s="2"/>
      <x:c r="M45" s="2"/>
      <x:c r="N45" s="2"/>
      <x:c r="O45" s="2"/>
      <x:c r="P45" s="2"/>
      <x:c r="Q45" s="2"/>
    </x:row>
    <x:row r="46" ht="22" customHeight="1">
      <x:c r="A46" s="2"/>
      <x:c r="B46" s="2"/>
      <x:c r="C46" s="2"/>
      <x:c r="D46" s="3"/>
      <x:c r="E46" s="3"/>
      <x:c r="F46" s="3"/>
      <x:c r="G46" s="3"/>
      <x:c r="H46" s="3"/>
      <x:c r="I46" s="3"/>
      <x:c r="J46" s="2"/>
      <x:c r="K46" s="2"/>
      <x:c r="L46" s="2"/>
      <x:c r="M46" s="2"/>
      <x:c r="N46" s="2"/>
      <x:c r="O46" s="2"/>
      <x:c r="P46" s="2"/>
      <x:c r="Q46" s="2"/>
    </x:row>
    <x:row r="47" ht="22" customHeight="1">
      <x:c r="A47" s="2"/>
      <x:c r="B47" s="2"/>
      <x:c r="C47" s="2"/>
      <x:c r="D47" s="3"/>
      <x:c r="E47" s="3"/>
      <x:c r="F47" s="3"/>
      <x:c r="G47" s="3"/>
      <x:c r="H47" s="3"/>
      <x:c r="I47" s="3"/>
      <x:c r="J47" s="2"/>
      <x:c r="K47" s="2"/>
      <x:c r="L47" s="2"/>
      <x:c r="M47" s="2"/>
      <x:c r="N47" s="2"/>
      <x:c r="O47" s="2"/>
      <x:c r="P47" s="2"/>
      <x:c r="Q47" s="2"/>
    </x:row>
    <x:row r="48" ht="22" customHeight="1">
      <x:c r="A48" s="2"/>
      <x:c r="B48" s="2"/>
      <x:c r="C48" s="2"/>
      <x:c r="D48" s="3"/>
      <x:c r="E48" s="3"/>
      <x:c r="F48" s="3"/>
      <x:c r="G48" s="3"/>
      <x:c r="H48" s="3"/>
      <x:c r="I48" s="3"/>
      <x:c r="J48" s="2"/>
      <x:c r="K48" s="2"/>
      <x:c r="L48" s="2"/>
      <x:c r="M48" s="2"/>
      <x:c r="N48" s="2"/>
      <x:c r="O48" s="2"/>
      <x:c r="P48" s="2"/>
      <x:c r="Q48" s="2"/>
    </x:row>
    <x:row r="49" ht="22" customHeight="1">
      <x:c r="A49" s="2"/>
      <x:c r="B49" s="2"/>
      <x:c r="C49" s="2"/>
      <x:c r="D49" s="3"/>
      <x:c r="E49" s="3"/>
      <x:c r="F49" s="3"/>
      <x:c r="G49" s="3"/>
      <x:c r="H49" s="3"/>
      <x:c r="I49" s="3"/>
      <x:c r="J49" s="2"/>
      <x:c r="K49" s="2"/>
      <x:c r="L49" s="2"/>
      <x:c r="M49" s="2"/>
      <x:c r="N49" s="2"/>
      <x:c r="O49" s="2"/>
      <x:c r="P49" s="2"/>
      <x:c r="Q49" s="2"/>
    </x:row>
    <x:row r="50" ht="22" customHeight="1">
      <x:c r="A50" s="2"/>
      <x:c r="B50" s="2"/>
      <x:c r="C50" s="2"/>
      <x:c r="D50" s="3"/>
      <x:c r="E50" s="3"/>
      <x:c r="F50" s="3"/>
      <x:c r="G50" s="3"/>
      <x:c r="H50" s="3"/>
      <x:c r="I50" s="3"/>
      <x:c r="J50" s="2"/>
      <x:c r="K50" s="2"/>
      <x:c r="L50" s="2"/>
      <x:c r="M50" s="2"/>
      <x:c r="N50" s="2"/>
      <x:c r="O50" s="2"/>
      <x:c r="P50" s="2"/>
      <x:c r="Q50" s="2"/>
    </x:row>
    <x:row r="51" ht="22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2"/>
      <x:c r="K51" s="2"/>
      <x:c r="L51" s="2"/>
      <x:c r="M51" s="2"/>
      <x:c r="N51" s="2"/>
      <x:c r="O51" s="2"/>
      <x:c r="P51" s="2"/>
      <x:c r="Q51" s="2"/>
    </x:row>
    <x:row r="52" ht="22" customHeight="1">
      <x:c r="A52" s="2"/>
      <x:c r="B52" s="2"/>
      <x:c r="C52" s="2"/>
      <x:c r="D52" s="3"/>
      <x:c r="E52" s="3"/>
      <x:c r="F52" s="3"/>
      <x:c r="G52" s="3"/>
      <x:c r="H52" s="3"/>
      <x:c r="I52" s="3"/>
      <x:c r="J52" s="2"/>
      <x:c r="K52" s="2"/>
      <x:c r="L52" s="2"/>
      <x:c r="M52" s="2"/>
      <x:c r="N52" s="2"/>
      <x:c r="O52" s="2"/>
      <x:c r="P52" s="2"/>
      <x:c r="Q52" s="2"/>
    </x:row>
    <x:row r="53" ht="22" customHeight="1">
      <x:c r="A53" s="2"/>
      <x:c r="B53" s="2"/>
      <x:c r="C53" s="2"/>
      <x:c r="D53" s="3"/>
      <x:c r="E53" s="3"/>
      <x:c r="F53" s="3"/>
      <x:c r="G53" s="3"/>
      <x:c r="H53" s="3"/>
      <x:c r="I53" s="3"/>
      <x:c r="J53" s="2"/>
      <x:c r="K53" s="2"/>
      <x:c r="L53" s="2"/>
      <x:c r="M53" s="2"/>
      <x:c r="N53" s="2"/>
      <x:c r="O53" s="2"/>
      <x:c r="P53" s="2"/>
      <x:c r="Q53" s="2"/>
    </x:row>
    <x:row r="54" ht="22" customHeight="1">
      <x:c r="A54" s="2"/>
      <x:c r="B54" s="2"/>
      <x:c r="C54" s="2"/>
      <x:c r="D54" s="3"/>
      <x:c r="E54" s="3"/>
      <x:c r="F54" s="3"/>
      <x:c r="G54" s="3"/>
      <x:c r="H54" s="3"/>
      <x:c r="I54" s="3"/>
      <x:c r="J54" s="2"/>
      <x:c r="K54" s="2"/>
      <x:c r="L54" s="2"/>
      <x:c r="M54" s="2"/>
      <x:c r="N54" s="2"/>
      <x:c r="O54" s="2"/>
      <x:c r="P54" s="2"/>
      <x:c r="Q54" s="2"/>
    </x:row>
    <x:row r="55" ht="22" customHeight="1">
      <x:c r="A55" s="2"/>
      <x:c r="B55" s="2"/>
      <x:c r="C55" s="2"/>
      <x:c r="D55" s="3"/>
      <x:c r="E55" s="3"/>
      <x:c r="F55" s="3"/>
      <x:c r="G55" s="3"/>
      <x:c r="H55" s="3"/>
      <x:c r="I55" s="3"/>
      <x:c r="J55" s="2"/>
      <x:c r="K55" s="2"/>
      <x:c r="L55" s="2"/>
      <x:c r="M55" s="2"/>
      <x:c r="N55" s="2"/>
      <x:c r="O55" s="2"/>
      <x:c r="P55" s="2"/>
      <x:c r="Q55" s="2"/>
    </x:row>
    <x:row r="56" ht="22" customHeight="1">
      <x:c r="A56" s="2"/>
      <x:c r="B56" s="2"/>
      <x:c r="C56" s="2"/>
      <x:c r="D56" s="3"/>
      <x:c r="E56" s="3"/>
      <x:c r="F56" s="3"/>
      <x:c r="G56" s="3"/>
      <x:c r="H56" s="3"/>
      <x:c r="I56" s="3"/>
      <x:c r="J56" s="2"/>
      <x:c r="K56" s="2"/>
      <x:c r="L56" s="2"/>
      <x:c r="M56" s="2"/>
      <x:c r="N56" s="2"/>
      <x:c r="O56" s="2"/>
      <x:c r="P56" s="2"/>
      <x:c r="Q56" s="2"/>
    </x:row>
    <x:row r="57" ht="22" customHeight="1">
      <x:c r="A57" s="2"/>
      <x:c r="B57" s="2"/>
      <x:c r="C57" s="2"/>
      <x:c r="D57" s="3"/>
      <x:c r="E57" s="3"/>
      <x:c r="F57" s="3"/>
      <x:c r="G57" s="3"/>
      <x:c r="H57" s="3"/>
      <x:c r="I57" s="3"/>
      <x:c r="J57" s="2"/>
      <x:c r="K57" s="2"/>
      <x:c r="L57" s="2"/>
      <x:c r="M57" s="2"/>
      <x:c r="N57" s="2"/>
      <x:c r="O57" s="2"/>
      <x:c r="P57" s="2"/>
      <x:c r="Q57" s="2"/>
    </x:row>
    <x:row r="58" ht="22" customHeight="1">
      <x:c r="A58" s="2"/>
      <x:c r="B58" s="2"/>
      <x:c r="C58" s="2"/>
      <x:c r="D58" s="3"/>
      <x:c r="E58" s="3"/>
      <x:c r="F58" s="3"/>
      <x:c r="G58" s="3"/>
      <x:c r="H58" s="3"/>
      <x:c r="I58" s="3"/>
      <x:c r="J58" s="2"/>
      <x:c r="K58" s="2"/>
      <x:c r="L58" s="2"/>
      <x:c r="M58" s="2"/>
      <x:c r="N58" s="2"/>
      <x:c r="O58" s="2"/>
      <x:c r="P58" s="2"/>
      <x:c r="Q58" s="2"/>
    </x:row>
    <x:row r="59" ht="22" customHeight="1">
      <x:c r="A59" s="2"/>
      <x:c r="B59" s="2"/>
      <x:c r="C59" s="2"/>
      <x:c r="D59" s="3"/>
      <x:c r="E59" s="3"/>
      <x:c r="F59" s="3"/>
      <x:c r="G59" s="3"/>
      <x:c r="H59" s="3"/>
      <x:c r="I59" s="3"/>
      <x:c r="J59" s="2"/>
      <x:c r="K59" s="2"/>
      <x:c r="L59" s="2"/>
      <x:c r="M59" s="2"/>
      <x:c r="N59" s="2"/>
      <x:c r="O59" s="2"/>
      <x:c r="P59" s="2"/>
      <x:c r="Q59" s="2"/>
    </x:row>
    <x:row r="60" ht="22" customHeight="1">
      <x:c r="A60" s="2"/>
      <x:c r="B60" s="2"/>
      <x:c r="C60" s="2"/>
      <x:c r="D60" s="3"/>
      <x:c r="E60" s="3"/>
      <x:c r="F60" s="3"/>
      <x:c r="G60" s="3"/>
      <x:c r="H60" s="3"/>
      <x:c r="I60" s="3"/>
      <x:c r="J60" s="2"/>
      <x:c r="K60" s="2"/>
      <x:c r="L60" s="2"/>
      <x:c r="M60" s="2"/>
      <x:c r="N60" s="2"/>
      <x:c r="O60" s="2"/>
      <x:c r="P60" s="2"/>
      <x:c r="Q60" s="2"/>
    </x:row>
    <x:row r="61" ht="22" customHeight="1">
      <x:c r="A61" s="2"/>
      <x:c r="B61" s="2"/>
      <x:c r="C61" s="2"/>
      <x:c r="D61" s="3"/>
      <x:c r="E61" s="3"/>
      <x:c r="F61" s="3"/>
      <x:c r="G61" s="3"/>
      <x:c r="H61" s="3"/>
      <x:c r="I61" s="3"/>
      <x:c r="J61" s="2"/>
      <x:c r="K61" s="2"/>
      <x:c r="L61" s="2"/>
      <x:c r="M61" s="2"/>
      <x:c r="N61" s="2"/>
      <x:c r="O61" s="2"/>
      <x:c r="P61" s="2"/>
      <x:c r="Q61" s="2"/>
    </x:row>
    <x:row r="62" ht="22" customHeight="1">
      <x:c r="A62" s="2"/>
      <x:c r="B62" s="2"/>
      <x:c r="C62" s="2"/>
      <x:c r="D62" s="3"/>
      <x:c r="E62" s="3"/>
      <x:c r="F62" s="3"/>
      <x:c r="G62" s="3"/>
      <x:c r="H62" s="3"/>
      <x:c r="I62" s="3"/>
      <x:c r="J62" s="2"/>
      <x:c r="K62" s="2"/>
      <x:c r="L62" s="2"/>
      <x:c r="M62" s="2"/>
      <x:c r="N62" s="2"/>
      <x:c r="O62" s="2"/>
      <x:c r="P62" s="2"/>
      <x:c r="Q62" s="2"/>
    </x:row>
    <x:row r="63" ht="22" customHeight="1">
      <x:c r="A63" s="2"/>
      <x:c r="B63" s="2"/>
      <x:c r="C63" s="2"/>
      <x:c r="D63" s="3"/>
      <x:c r="E63" s="3"/>
      <x:c r="F63" s="3"/>
      <x:c r="G63" s="3"/>
      <x:c r="H63" s="3"/>
      <x:c r="I63" s="3"/>
      <x:c r="J63" s="2"/>
      <x:c r="K63" s="2"/>
      <x:c r="L63" s="2"/>
      <x:c r="M63" s="2"/>
      <x:c r="N63" s="2"/>
      <x:c r="O63" s="2"/>
      <x:c r="P63" s="2"/>
      <x:c r="Q63" s="2"/>
    </x:row>
    <x:row r="64" ht="22" customHeight="1">
      <x:c r="A64" s="2"/>
      <x:c r="B64" s="2"/>
      <x:c r="C64" s="2"/>
      <x:c r="D64" s="3"/>
      <x:c r="E64" s="3"/>
      <x:c r="F64" s="3"/>
      <x:c r="G64" s="3"/>
      <x:c r="H64" s="3"/>
      <x:c r="I64" s="3"/>
      <x:c r="J64" s="2"/>
      <x:c r="K64" s="2"/>
      <x:c r="L64" s="2"/>
      <x:c r="M64" s="2"/>
      <x:c r="N64" s="2"/>
      <x:c r="O64" s="2"/>
      <x:c r="P64" s="2"/>
      <x:c r="Q64" s="2"/>
    </x:row>
    <x:row r="65" ht="22" customHeight="1">
      <x:c r="A65" s="2"/>
      <x:c r="B65" s="2"/>
      <x:c r="C65" s="2"/>
      <x:c r="D65" s="3"/>
      <x:c r="E65" s="3"/>
      <x:c r="F65" s="3"/>
      <x:c r="G65" s="3"/>
      <x:c r="H65" s="3"/>
      <x:c r="I65" s="3"/>
      <x:c r="J65" s="2"/>
      <x:c r="K65" s="2"/>
      <x:c r="L65" s="2"/>
      <x:c r="M65" s="2"/>
      <x:c r="N65" s="2"/>
      <x:c r="O65" s="2"/>
      <x:c r="P65" s="2"/>
      <x:c r="Q65" s="2"/>
    </x:row>
    <x:row r="66" ht="22" customHeight="1">
      <x:c r="A66" s="2"/>
      <x:c r="B66" s="2"/>
      <x:c r="C66" s="2"/>
      <x:c r="D66" s="3"/>
      <x:c r="E66" s="3"/>
      <x:c r="F66" s="3"/>
      <x:c r="G66" s="3"/>
      <x:c r="H66" s="3"/>
      <x:c r="I66" s="3"/>
      <x:c r="J66" s="2"/>
      <x:c r="K66" s="2"/>
      <x:c r="L66" s="2"/>
      <x:c r="M66" s="2"/>
      <x:c r="N66" s="2"/>
      <x:c r="O66" s="2"/>
      <x:c r="P66" s="2"/>
      <x:c r="Q66" s="2"/>
    </x:row>
    <x:row r="67" ht="22" customHeight="1">
      <x:c r="A67" s="2"/>
      <x:c r="B67" s="2"/>
      <x:c r="C67" s="2"/>
      <x:c r="D67" s="3"/>
      <x:c r="E67" s="3"/>
      <x:c r="F67" s="3"/>
      <x:c r="G67" s="3"/>
      <x:c r="H67" s="3"/>
      <x:c r="I67" s="3"/>
      <x:c r="J67" s="2"/>
      <x:c r="K67" s="2"/>
      <x:c r="L67" s="2"/>
      <x:c r="M67" s="2"/>
      <x:c r="N67" s="2"/>
      <x:c r="O67" s="2"/>
      <x:c r="P67" s="2"/>
      <x:c r="Q67" s="2"/>
    </x:row>
    <x:row r="68" ht="22" customHeight="1">
      <x:c r="A68" s="2"/>
      <x:c r="B68" s="2"/>
      <x:c r="C68" s="2"/>
      <x:c r="D68" s="3"/>
      <x:c r="E68" s="3"/>
      <x:c r="F68" s="3"/>
      <x:c r="G68" s="3"/>
      <x:c r="H68" s="3"/>
      <x:c r="I68" s="3"/>
      <x:c r="J68" s="2"/>
      <x:c r="K68" s="2"/>
      <x:c r="L68" s="2"/>
      <x:c r="M68" s="2"/>
      <x:c r="N68" s="2"/>
      <x:c r="O68" s="2"/>
      <x:c r="P68" s="2"/>
      <x:c r="Q68" s="2"/>
    </x:row>
    <x:row r="69" ht="22" customHeight="1">
      <x:c r="A69" s="2"/>
      <x:c r="B69" s="2"/>
      <x:c r="C69" s="2"/>
      <x:c r="D69" s="3"/>
      <x:c r="E69" s="3"/>
      <x:c r="F69" s="3"/>
      <x:c r="G69" s="3"/>
      <x:c r="H69" s="3"/>
      <x:c r="I69" s="3"/>
      <x:c r="J69" s="2"/>
      <x:c r="K69" s="2"/>
      <x:c r="L69" s="2"/>
      <x:c r="M69" s="2"/>
      <x:c r="N69" s="2"/>
      <x:c r="O69" s="2"/>
      <x:c r="P69" s="2"/>
      <x:c r="Q69" s="2"/>
    </x:row>
    <x:row r="70" ht="22" customHeight="1">
      <x:c r="A70" s="2"/>
      <x:c r="B70" s="2"/>
      <x:c r="C70" s="2"/>
      <x:c r="D70" s="3"/>
      <x:c r="E70" s="3"/>
      <x:c r="F70" s="3"/>
      <x:c r="G70" s="3"/>
      <x:c r="H70" s="3"/>
      <x:c r="I70" s="3"/>
      <x:c r="J70" s="2"/>
      <x:c r="K70" s="2"/>
      <x:c r="L70" s="2"/>
      <x:c r="M70" s="2"/>
      <x:c r="N70" s="2"/>
      <x:c r="O70" s="2"/>
      <x:c r="P70" s="2"/>
      <x:c r="Q70" s="2"/>
    </x:row>
    <x:row r="71" ht="22" customHeight="1">
      <x:c r="A71" s="2"/>
      <x:c r="B71" s="2"/>
      <x:c r="C71" s="2"/>
      <x:c r="D71" s="3"/>
      <x:c r="E71" s="3"/>
      <x:c r="F71" s="3"/>
      <x:c r="G71" s="3"/>
      <x:c r="H71" s="3"/>
      <x:c r="I71" s="3"/>
      <x:c r="J71" s="2"/>
      <x:c r="K71" s="2"/>
      <x:c r="L71" s="2"/>
      <x:c r="M71" s="2"/>
      <x:c r="N71" s="2"/>
      <x:c r="O71" s="2"/>
      <x:c r="P71" s="2"/>
      <x:c r="Q71" s="2"/>
    </x:row>
    <x:row r="72" ht="22" customHeight="1">
      <x:c r="A72" s="2"/>
      <x:c r="B72" s="2"/>
      <x:c r="C72" s="2"/>
      <x:c r="D72" s="3"/>
      <x:c r="E72" s="3"/>
      <x:c r="F72" s="3"/>
      <x:c r="G72" s="3"/>
      <x:c r="H72" s="3"/>
      <x:c r="I72" s="3"/>
      <x:c r="J72" s="2"/>
      <x:c r="K72" s="2"/>
      <x:c r="L72" s="2"/>
      <x:c r="M72" s="2"/>
      <x:c r="N72" s="2"/>
      <x:c r="O72" s="2"/>
      <x:c r="P72" s="2"/>
      <x:c r="Q72" s="2"/>
    </x:row>
    <x:row r="73" ht="22" customHeight="1">
      <x:c r="A73" s="2"/>
      <x:c r="B73" s="2"/>
      <x:c r="C73" s="2"/>
      <x:c r="D73" s="3"/>
      <x:c r="E73" s="3"/>
      <x:c r="F73" s="3"/>
      <x:c r="G73" s="3"/>
      <x:c r="H73" s="3"/>
      <x:c r="I73" s="3"/>
      <x:c r="J73" s="2"/>
      <x:c r="K73" s="2"/>
      <x:c r="L73" s="2"/>
      <x:c r="M73" s="2"/>
      <x:c r="N73" s="2"/>
      <x:c r="O73" s="2"/>
      <x:c r="P73" s="2"/>
      <x:c r="Q73" s="2"/>
    </x:row>
    <x:row r="74" ht="22" customHeight="1">
      <x:c r="A74" s="2"/>
      <x:c r="B74" s="2"/>
      <x:c r="C74" s="2"/>
      <x:c r="D74" s="3"/>
      <x:c r="E74" s="3"/>
      <x:c r="F74" s="3"/>
      <x:c r="G74" s="3"/>
      <x:c r="H74" s="3"/>
      <x:c r="I74" s="3"/>
      <x:c r="J74" s="2"/>
      <x:c r="K74" s="2"/>
      <x:c r="L74" s="2"/>
      <x:c r="M74" s="2"/>
      <x:c r="N74" s="2"/>
      <x:c r="O74" s="2"/>
      <x:c r="P74" s="2"/>
      <x:c r="Q74" s="2"/>
    </x:row>
    <x:row r="75" ht="22" customHeight="1">
      <x:c r="A75" s="2"/>
      <x:c r="B75" s="2"/>
      <x:c r="C75" s="2"/>
      <x:c r="D75" s="3"/>
      <x:c r="E75" s="3"/>
      <x:c r="F75" s="3"/>
      <x:c r="G75" s="3"/>
      <x:c r="H75" s="3"/>
      <x:c r="I75" s="3"/>
      <x:c r="J75" s="2"/>
      <x:c r="K75" s="2"/>
      <x:c r="L75" s="2"/>
      <x:c r="M75" s="2"/>
      <x:c r="N75" s="2"/>
      <x:c r="O75" s="2"/>
      <x:c r="P75" s="2"/>
      <x:c r="Q75" s="2"/>
    </x:row>
    <x:row r="76" ht="22" customHeight="1">
      <x:c r="A76" s="2"/>
      <x:c r="B76" s="2"/>
      <x:c r="C76" s="2"/>
      <x:c r="D76" s="3"/>
      <x:c r="E76" s="3"/>
      <x:c r="F76" s="3"/>
      <x:c r="G76" s="3"/>
      <x:c r="H76" s="3"/>
      <x:c r="I76" s="3"/>
      <x:c r="J76" s="2"/>
      <x:c r="K76" s="2"/>
      <x:c r="L76" s="2"/>
      <x:c r="M76" s="2"/>
      <x:c r="N76" s="2"/>
      <x:c r="O76" s="2"/>
      <x:c r="P76" s="2"/>
      <x:c r="Q76" s="2"/>
    </x:row>
    <x:row r="77" ht="22" customHeight="1">
      <x:c r="A77" s="2"/>
      <x:c r="B77" s="2"/>
      <x:c r="C77" s="2"/>
      <x:c r="D77" s="3"/>
      <x:c r="E77" s="3"/>
      <x:c r="F77" s="3"/>
      <x:c r="G77" s="3"/>
      <x:c r="H77" s="3"/>
      <x:c r="I77" s="3"/>
      <x:c r="J77" s="2"/>
      <x:c r="K77" s="2"/>
      <x:c r="L77" s="2"/>
      <x:c r="M77" s="2"/>
      <x:c r="N77" s="2"/>
      <x:c r="O77" s="2"/>
      <x:c r="P77" s="2"/>
      <x:c r="Q77" s="2"/>
    </x:row>
    <x:row r="78" ht="22" customHeight="1">
      <x:c r="A78" s="2"/>
      <x:c r="B78" s="2"/>
      <x:c r="C78" s="2"/>
      <x:c r="D78" s="3"/>
      <x:c r="E78" s="3"/>
      <x:c r="F78" s="3"/>
      <x:c r="G78" s="3"/>
      <x:c r="H78" s="3"/>
      <x:c r="I78" s="3"/>
      <x:c r="J78" s="2"/>
      <x:c r="K78" s="2"/>
      <x:c r="L78" s="2"/>
      <x:c r="M78" s="2"/>
      <x:c r="N78" s="2"/>
      <x:c r="O78" s="2"/>
      <x:c r="P78" s="2"/>
      <x:c r="Q78" s="2"/>
    </x:row>
    <x:row r="79" ht="22" customHeight="1">
      <x:c r="A79" s="2"/>
      <x:c r="B79" s="2"/>
      <x:c r="C79" s="2"/>
      <x:c r="D79" s="3"/>
      <x:c r="E79" s="3"/>
      <x:c r="F79" s="3"/>
      <x:c r="G79" s="3"/>
      <x:c r="H79" s="3"/>
      <x:c r="I79" s="3"/>
      <x:c r="J79" s="2"/>
      <x:c r="K79" s="2"/>
      <x:c r="L79" s="2"/>
      <x:c r="M79" s="2"/>
      <x:c r="N79" s="2"/>
      <x:c r="O79" s="2"/>
      <x:c r="P79" s="2"/>
      <x:c r="Q79" s="2"/>
    </x:row>
    <x:row r="80" ht="22" customHeight="1">
      <x:c r="A80" s="2"/>
      <x:c r="B80" s="2"/>
      <x:c r="C80" s="2"/>
      <x:c r="D80" s="3"/>
      <x:c r="E80" s="3"/>
      <x:c r="F80" s="3"/>
      <x:c r="G80" s="3"/>
      <x:c r="H80" s="3"/>
      <x:c r="I80" s="3"/>
      <x:c r="J80" s="2"/>
      <x:c r="K80" s="2"/>
      <x:c r="L80" s="2"/>
      <x:c r="M80" s="2"/>
      <x:c r="N80" s="2"/>
      <x:c r="O80" s="2"/>
      <x:c r="P80" s="2"/>
      <x:c r="Q80" s="2"/>
    </x:row>
    <x:row r="81" ht="22" customHeight="1">
      <x:c r="A81" s="2"/>
      <x:c r="B81" s="2"/>
      <x:c r="C81" s="2"/>
      <x:c r="D81" s="3"/>
      <x:c r="E81" s="3"/>
      <x:c r="F81" s="3"/>
      <x:c r="G81" s="3"/>
      <x:c r="H81" s="3"/>
      <x:c r="I81" s="3"/>
      <x:c r="J81" s="2"/>
      <x:c r="K81" s="2"/>
      <x:c r="L81" s="2"/>
      <x:c r="M81" s="2"/>
      <x:c r="N81" s="2"/>
      <x:c r="O81" s="2"/>
      <x:c r="P81" s="2"/>
      <x:c r="Q81" s="2"/>
    </x:row>
    <x:row r="82" ht="22" customHeight="1">
      <x:c r="A82" s="2"/>
      <x:c r="B82" s="2"/>
      <x:c r="C82" s="2"/>
      <x:c r="D82" s="3"/>
      <x:c r="E82" s="3"/>
      <x:c r="F82" s="3"/>
      <x:c r="G82" s="3"/>
      <x:c r="H82" s="3"/>
      <x:c r="I82" s="3"/>
      <x:c r="J82" s="2"/>
      <x:c r="K82" s="2"/>
      <x:c r="L82" s="2"/>
      <x:c r="M82" s="2"/>
      <x:c r="N82" s="2"/>
      <x:c r="O82" s="2"/>
      <x:c r="P82" s="2"/>
      <x:c r="Q82" s="2"/>
    </x:row>
    <x:row r="83" ht="22" customHeight="1">
      <x:c r="A83" s="2"/>
      <x:c r="B83" s="2"/>
      <x:c r="C83" s="2"/>
      <x:c r="D83" s="3"/>
      <x:c r="E83" s="3"/>
      <x:c r="F83" s="3"/>
      <x:c r="G83" s="3"/>
      <x:c r="H83" s="3"/>
      <x:c r="I83" s="3"/>
      <x:c r="J83" s="2"/>
      <x:c r="K83" s="2"/>
      <x:c r="L83" s="2"/>
      <x:c r="M83" s="2"/>
      <x:c r="N83" s="2"/>
      <x:c r="O83" s="2"/>
      <x:c r="P83" s="2"/>
      <x:c r="Q83" s="2"/>
    </x:row>
    <x:row r="84" ht="22" customHeight="1">
      <x:c r="A84" s="2"/>
      <x:c r="B84" s="2"/>
      <x:c r="C84" s="2"/>
      <x:c r="D84" s="3"/>
      <x:c r="E84" s="3"/>
      <x:c r="F84" s="3"/>
      <x:c r="G84" s="3"/>
      <x:c r="H84" s="3"/>
      <x:c r="I84" s="3"/>
      <x:c r="J84" s="2"/>
      <x:c r="K84" s="2"/>
      <x:c r="L84" s="2"/>
      <x:c r="M84" s="2"/>
      <x:c r="N84" s="2"/>
      <x:c r="O84" s="2"/>
      <x:c r="P84" s="2"/>
      <x:c r="Q84" s="2"/>
    </x:row>
    <x:row r="85" ht="22" customHeight="1">
      <x:c r="A85" s="2"/>
      <x:c r="B85" s="2"/>
      <x:c r="C85" s="2"/>
      <x:c r="D85" s="3"/>
      <x:c r="E85" s="3"/>
      <x:c r="F85" s="3"/>
      <x:c r="G85" s="3"/>
      <x:c r="H85" s="3"/>
      <x:c r="I85" s="3"/>
      <x:c r="J85" s="2"/>
      <x:c r="K85" s="2"/>
      <x:c r="L85" s="2"/>
      <x:c r="M85" s="2"/>
      <x:c r="N85" s="2"/>
      <x:c r="O85" s="2"/>
      <x:c r="P85" s="2"/>
      <x:c r="Q85" s="2"/>
    </x:row>
    <x:row r="86" ht="22" customHeight="1">
      <x:c r="A86" s="2"/>
      <x:c r="B86" s="2"/>
      <x:c r="C86" s="2"/>
      <x:c r="D86" s="3"/>
      <x:c r="E86" s="3"/>
      <x:c r="F86" s="3"/>
      <x:c r="G86" s="3"/>
      <x:c r="H86" s="3"/>
      <x:c r="I86" s="3"/>
      <x:c r="J86" s="2"/>
      <x:c r="K86" s="2"/>
      <x:c r="L86" s="2"/>
      <x:c r="M86" s="2"/>
      <x:c r="N86" s="2"/>
      <x:c r="O86" s="2"/>
      <x:c r="P86" s="2"/>
      <x:c r="Q86" s="2"/>
    </x:row>
    <x:row r="87" ht="22" customHeight="1">
      <x:c r="A87" s="2"/>
      <x:c r="B87" s="2"/>
      <x:c r="C87" s="2"/>
      <x:c r="D87" s="3"/>
      <x:c r="E87" s="3"/>
      <x:c r="F87" s="3"/>
      <x:c r="G87" s="3"/>
      <x:c r="H87" s="3"/>
      <x:c r="I87" s="3"/>
      <x:c r="J87" s="2"/>
      <x:c r="K87" s="2"/>
      <x:c r="L87" s="2"/>
      <x:c r="M87" s="2"/>
      <x:c r="N87" s="2"/>
      <x:c r="O87" s="2"/>
      <x:c r="P87" s="2"/>
      <x:c r="Q87" s="2"/>
    </x:row>
    <x:row r="88" ht="22" customHeight="1">
      <x:c r="A88" s="2"/>
      <x:c r="B88" s="2"/>
      <x:c r="C88" s="2"/>
      <x:c r="D88" s="3"/>
      <x:c r="E88" s="3"/>
      <x:c r="F88" s="3"/>
      <x:c r="G88" s="3"/>
      <x:c r="H88" s="3"/>
      <x:c r="I88" s="3"/>
      <x:c r="J88" s="2"/>
      <x:c r="K88" s="2"/>
      <x:c r="L88" s="2"/>
      <x:c r="M88" s="2"/>
      <x:c r="N88" s="2"/>
      <x:c r="O88" s="2"/>
      <x:c r="P88" s="2"/>
      <x:c r="Q88" s="2"/>
    </x:row>
    <x:row r="89" ht="22" customHeight="1">
      <x:c r="A89" s="2"/>
      <x:c r="B89" s="2"/>
      <x:c r="C89" s="2"/>
      <x:c r="D89" s="3"/>
      <x:c r="E89" s="3"/>
      <x:c r="F89" s="3"/>
      <x:c r="G89" s="3"/>
      <x:c r="H89" s="3"/>
      <x:c r="I89" s="3"/>
      <x:c r="J89" s="2"/>
      <x:c r="K89" s="2"/>
      <x:c r="L89" s="2"/>
      <x:c r="M89" s="2"/>
      <x:c r="N89" s="2"/>
      <x:c r="O89" s="2"/>
      <x:c r="P89" s="2"/>
      <x:c r="Q89" s="2"/>
    </x:row>
    <x:row r="90" ht="22" customHeight="1">
      <x:c r="A90" s="2"/>
      <x:c r="B90" s="2"/>
      <x:c r="C90" s="2"/>
      <x:c r="D90" s="3"/>
      <x:c r="E90" s="3"/>
      <x:c r="F90" s="3"/>
      <x:c r="G90" s="3"/>
      <x:c r="H90" s="3"/>
      <x:c r="I90" s="3"/>
      <x:c r="J90" s="2"/>
      <x:c r="K90" s="2"/>
      <x:c r="L90" s="2"/>
      <x:c r="M90" s="2"/>
      <x:c r="N90" s="2"/>
      <x:c r="O90" s="2"/>
      <x:c r="P90" s="2"/>
      <x:c r="Q90" s="2"/>
    </x:row>
    <x:row r="91" ht="22" customHeight="1">
      <x:c r="A91" s="2"/>
      <x:c r="B91" s="2"/>
      <x:c r="C91" s="2"/>
      <x:c r="D91" s="3"/>
      <x:c r="E91" s="3"/>
      <x:c r="F91" s="3"/>
      <x:c r="G91" s="3"/>
      <x:c r="H91" s="3"/>
      <x:c r="I91" s="3"/>
      <x:c r="J91" s="2"/>
      <x:c r="K91" s="2"/>
      <x:c r="L91" s="2"/>
      <x:c r="M91" s="2"/>
      <x:c r="N91" s="2"/>
      <x:c r="O91" s="2"/>
      <x:c r="P91" s="2"/>
      <x:c r="Q91" s="2"/>
    </x:row>
    <x:row r="92" ht="22" customHeight="1">
      <x:c r="A92" s="2"/>
      <x:c r="B92" s="2"/>
      <x:c r="C92" s="2"/>
      <x:c r="D92" s="3"/>
      <x:c r="E92" s="3"/>
      <x:c r="F92" s="3"/>
      <x:c r="G92" s="3"/>
      <x:c r="H92" s="3"/>
      <x:c r="I92" s="3"/>
      <x:c r="J92" s="2"/>
      <x:c r="K92" s="2"/>
      <x:c r="L92" s="2"/>
      <x:c r="M92" s="2"/>
      <x:c r="N92" s="2"/>
      <x:c r="O92" s="2"/>
      <x:c r="P92" s="2"/>
      <x:c r="Q92" s="2"/>
    </x:row>
    <x:row r="93" ht="22" customHeight="1">
      <x:c r="A93" s="2"/>
      <x:c r="B93" s="2"/>
      <x:c r="C93" s="2"/>
      <x:c r="D93" s="3"/>
      <x:c r="E93" s="3"/>
      <x:c r="F93" s="3"/>
      <x:c r="G93" s="3"/>
      <x:c r="H93" s="3"/>
      <x:c r="I93" s="3"/>
      <x:c r="J93" s="2"/>
      <x:c r="K93" s="2"/>
      <x:c r="L93" s="2"/>
      <x:c r="M93" s="2"/>
      <x:c r="N93" s="2"/>
      <x:c r="O93" s="2"/>
      <x:c r="P93" s="2"/>
      <x:c r="Q93" s="2"/>
    </x:row>
    <x:row r="94" ht="22" customHeight="1">
      <x:c r="A94" s="2"/>
      <x:c r="B94" s="2"/>
      <x:c r="C94" s="2"/>
      <x:c r="D94" s="3"/>
      <x:c r="E94" s="3"/>
      <x:c r="F94" s="3"/>
      <x:c r="G94" s="3"/>
      <x:c r="H94" s="3"/>
      <x:c r="I94" s="3"/>
      <x:c r="J94" s="2"/>
      <x:c r="K94" s="2"/>
      <x:c r="L94" s="2"/>
      <x:c r="M94" s="2"/>
      <x:c r="N94" s="2"/>
      <x:c r="O94" s="2"/>
      <x:c r="P94" s="2"/>
      <x:c r="Q94" s="2"/>
    </x:row>
    <x:row r="95" ht="22" customHeight="1">
      <x:c r="A95" s="2"/>
      <x:c r="B95" s="2"/>
      <x:c r="C95" s="2"/>
      <x:c r="D95" s="3"/>
      <x:c r="E95" s="3"/>
      <x:c r="F95" s="3"/>
      <x:c r="G95" s="3"/>
      <x:c r="H95" s="3"/>
      <x:c r="I95" s="3"/>
      <x:c r="J95" s="2"/>
      <x:c r="K95" s="2"/>
      <x:c r="L95" s="2"/>
      <x:c r="M95" s="2"/>
      <x:c r="N95" s="2"/>
      <x:c r="O95" s="2"/>
      <x:c r="P95" s="2"/>
      <x:c r="Q95" s="2"/>
    </x:row>
    <x:row r="96" ht="22" customHeight="1">
      <x:c r="A96" s="2"/>
      <x:c r="B96" s="2"/>
      <x:c r="C96" s="2"/>
      <x:c r="D96" s="3"/>
      <x:c r="E96" s="3"/>
      <x:c r="F96" s="3"/>
      <x:c r="G96" s="3"/>
      <x:c r="H96" s="3"/>
      <x:c r="I96" s="3"/>
      <x:c r="J96" s="2"/>
      <x:c r="K96" s="2"/>
      <x:c r="L96" s="2"/>
      <x:c r="M96" s="2"/>
      <x:c r="N96" s="2"/>
      <x:c r="O96" s="2"/>
      <x:c r="P96" s="2"/>
      <x:c r="Q96" s="2"/>
    </x:row>
    <x:row r="97" ht="22" customHeight="1">
      <x:c r="A97" s="2"/>
      <x:c r="B97" s="2"/>
      <x:c r="C97" s="2"/>
      <x:c r="D97" s="3"/>
      <x:c r="E97" s="3"/>
      <x:c r="F97" s="3"/>
      <x:c r="G97" s="3"/>
      <x:c r="H97" s="3"/>
      <x:c r="I97" s="3"/>
      <x:c r="J97" s="2"/>
      <x:c r="K97" s="2"/>
      <x:c r="L97" s="2"/>
      <x:c r="M97" s="2"/>
      <x:c r="N97" s="2"/>
      <x:c r="O97" s="2"/>
      <x:c r="P97" s="2"/>
      <x:c r="Q97" s="2"/>
    </x:row>
    <x:row r="98" ht="22" customHeight="1">
      <x:c r="A98" s="2"/>
      <x:c r="B98" s="2"/>
      <x:c r="C98" s="2"/>
      <x:c r="D98" s="3"/>
      <x:c r="E98" s="3"/>
      <x:c r="F98" s="3"/>
      <x:c r="G98" s="3"/>
      <x:c r="H98" s="3"/>
      <x:c r="I98" s="3"/>
      <x:c r="J98" s="2"/>
      <x:c r="K98" s="2"/>
      <x:c r="L98" s="2"/>
      <x:c r="M98" s="2"/>
      <x:c r="N98" s="2"/>
      <x:c r="O98" s="2"/>
      <x:c r="P98" s="2"/>
      <x:c r="Q98" s="2"/>
    </x:row>
    <x:row r="99" ht="22" customHeight="1">
      <x:c r="A99" s="2"/>
      <x:c r="B99" s="2"/>
      <x:c r="C99" s="2"/>
      <x:c r="D99" s="3"/>
      <x:c r="E99" s="3"/>
      <x:c r="F99" s="3"/>
      <x:c r="G99" s="3"/>
      <x:c r="H99" s="3"/>
      <x:c r="I99" s="3"/>
      <x:c r="J99" s="2"/>
      <x:c r="K99" s="2"/>
      <x:c r="L99" s="2"/>
      <x:c r="M99" s="2"/>
      <x:c r="N99" s="2"/>
      <x:c r="O99" s="2"/>
      <x:c r="P99" s="2"/>
      <x:c r="Q99" s="2"/>
    </x:row>
    <x:row r="100" ht="22" customHeight="1">
      <x:c r="A100" s="2"/>
      <x:c r="B100" s="2"/>
      <x:c r="C100" s="2"/>
      <x:c r="D100" s="3"/>
      <x:c r="E100" s="3"/>
      <x:c r="F100" s="3"/>
      <x:c r="G100" s="3"/>
      <x:c r="H100" s="3"/>
      <x:c r="I100" s="3"/>
      <x:c r="J100" s="2"/>
      <x:c r="K100" s="2"/>
      <x:c r="L100" s="2"/>
      <x:c r="M100" s="2"/>
      <x:c r="N100" s="2"/>
      <x:c r="O100" s="2"/>
      <x:c r="P100" s="2"/>
      <x:c r="Q100" s="2"/>
    </x:row>
    <x:row r="101" ht="22" customHeight="1">
      <x:c r="A101" s="2"/>
      <x:c r="B101" s="2"/>
      <x:c r="C101" s="2"/>
      <x:c r="D101" s="3"/>
      <x:c r="E101" s="3"/>
      <x:c r="F101" s="3"/>
      <x:c r="G101" s="3"/>
      <x:c r="H101" s="3"/>
      <x:c r="I101" s="3"/>
      <x:c r="J101" s="2"/>
      <x:c r="K101" s="2"/>
      <x:c r="L101" s="2"/>
      <x:c r="M101" s="2"/>
      <x:c r="N101" s="2"/>
      <x:c r="O101" s="2"/>
      <x:c r="P101" s="2"/>
      <x:c r="Q101" s="2"/>
    </x:row>
    <x:row r="102" ht="22" customHeight="1">
      <x:c r="A102" s="2"/>
      <x:c r="B102" s="2"/>
      <x:c r="C102" s="2"/>
      <x:c r="D102" s="3"/>
      <x:c r="E102" s="3"/>
      <x:c r="F102" s="3"/>
      <x:c r="G102" s="3"/>
      <x:c r="H102" s="3"/>
      <x:c r="I102" s="3"/>
      <x:c r="J102" s="2"/>
      <x:c r="K102" s="2"/>
      <x:c r="L102" s="2"/>
      <x:c r="M102" s="2"/>
      <x:c r="N102" s="2"/>
      <x:c r="O102" s="2"/>
      <x:c r="P102" s="2"/>
      <x:c r="Q102" s="2"/>
    </x:row>
    <x:row r="103" ht="22" customHeight="1">
      <x:c r="A103" s="2"/>
      <x:c r="B103" s="2"/>
      <x:c r="C103" s="2"/>
      <x:c r="D103" s="3"/>
      <x:c r="E103" s="3"/>
      <x:c r="F103" s="3"/>
      <x:c r="G103" s="3"/>
      <x:c r="H103" s="3"/>
      <x:c r="I103" s="3"/>
      <x:c r="J103" s="2"/>
      <x:c r="K103" s="2"/>
      <x:c r="L103" s="2"/>
      <x:c r="M103" s="2"/>
      <x:c r="N103" s="2"/>
      <x:c r="O103" s="2"/>
      <x:c r="P103" s="2"/>
      <x:c r="Q103" s="2"/>
    </x:row>
    <x:row r="104" ht="22" customHeight="1">
      <x:c r="A104" s="2"/>
      <x:c r="B104" s="2"/>
      <x:c r="C104" s="2"/>
      <x:c r="D104" s="3"/>
      <x:c r="E104" s="3"/>
      <x:c r="F104" s="3"/>
      <x:c r="G104" s="3"/>
      <x:c r="H104" s="3"/>
      <x:c r="I104" s="3"/>
      <x:c r="J104" s="2"/>
      <x:c r="K104" s="2"/>
      <x:c r="L104" s="2"/>
      <x:c r="M104" s="2"/>
      <x:c r="N104" s="2"/>
      <x:c r="O104" s="2"/>
      <x:c r="P104" s="2"/>
      <x:c r="Q104" s="2"/>
    </x:row>
    <x:row r="105" ht="22" customHeight="1">
      <x:c r="A105" s="2"/>
      <x:c r="B105" s="2"/>
      <x:c r="C105" s="2"/>
      <x:c r="D105" s="3"/>
      <x:c r="E105" s="3"/>
      <x:c r="F105" s="3"/>
      <x:c r="G105" s="3"/>
      <x:c r="H105" s="3"/>
      <x:c r="I105" s="3"/>
      <x:c r="J105" s="2"/>
      <x:c r="K105" s="2"/>
      <x:c r="L105" s="2"/>
      <x:c r="M105" s="2"/>
      <x:c r="N105" s="2"/>
      <x:c r="O105" s="2"/>
      <x:c r="P105" s="2"/>
      <x:c r="Q105" s="2"/>
    </x:row>
    <x:row r="106" ht="22" customHeight="1">
      <x:c r="A106" s="2"/>
      <x:c r="B106" s="2"/>
      <x:c r="C106" s="2"/>
      <x:c r="D106" s="3"/>
      <x:c r="E106" s="3"/>
      <x:c r="F106" s="3"/>
      <x:c r="G106" s="3"/>
      <x:c r="H106" s="3"/>
      <x:c r="I106" s="3"/>
      <x:c r="J106" s="2"/>
      <x:c r="K106" s="2"/>
      <x:c r="L106" s="2"/>
      <x:c r="M106" s="2"/>
      <x:c r="N106" s="2"/>
      <x:c r="O106" s="2"/>
      <x:c r="P106" s="2"/>
      <x:c r="Q106" s="2"/>
    </x:row>
    <x:row r="107" ht="22" customHeight="1">
      <x:c r="A107" s="2"/>
      <x:c r="B107" s="2"/>
      <x:c r="C107" s="2"/>
      <x:c r="D107" s="3"/>
      <x:c r="E107" s="3"/>
      <x:c r="F107" s="3"/>
      <x:c r="G107" s="3"/>
      <x:c r="H107" s="3"/>
      <x:c r="I107" s="3"/>
      <x:c r="J107" s="2"/>
      <x:c r="K107" s="2"/>
      <x:c r="L107" s="2"/>
      <x:c r="M107" s="2"/>
      <x:c r="N107" s="2"/>
      <x:c r="O107" s="2"/>
      <x:c r="P107" s="2"/>
      <x:c r="Q107" s="2"/>
    </x:row>
    <x:row r="108" ht="22" customHeight="1">
      <x:c r="A108" s="2"/>
      <x:c r="B108" s="2"/>
      <x:c r="C108" s="2"/>
      <x:c r="D108" s="3"/>
      <x:c r="E108" s="3"/>
      <x:c r="F108" s="3"/>
      <x:c r="G108" s="3"/>
      <x:c r="H108" s="3"/>
      <x:c r="I108" s="3"/>
      <x:c r="J108" s="2"/>
      <x:c r="K108" s="2"/>
      <x:c r="L108" s="2"/>
      <x:c r="M108" s="2"/>
      <x:c r="N108" s="2"/>
      <x:c r="O108" s="2"/>
      <x:c r="P108" s="2"/>
      <x:c r="Q108" s="2"/>
    </x:row>
    <x:row r="109" ht="22" customHeight="1">
      <x:c r="A109" s="2"/>
      <x:c r="B109" s="2"/>
      <x:c r="C109" s="2"/>
      <x:c r="D109" s="3"/>
      <x:c r="E109" s="3"/>
      <x:c r="F109" s="3"/>
      <x:c r="G109" s="3"/>
      <x:c r="H109" s="3"/>
      <x:c r="I109" s="3"/>
      <x:c r="J109" s="2"/>
      <x:c r="K109" s="2"/>
      <x:c r="L109" s="2"/>
      <x:c r="M109" s="2"/>
      <x:c r="N109" s="2"/>
      <x:c r="O109" s="2"/>
      <x:c r="P109" s="2"/>
      <x:c r="Q109" s="2"/>
    </x:row>
    <x:row r="110" ht="22" customHeight="1">
      <x:c r="A110" s="2"/>
      <x:c r="B110" s="2"/>
      <x:c r="C110" s="2"/>
      <x:c r="D110" s="3"/>
      <x:c r="E110" s="3"/>
      <x:c r="F110" s="3"/>
      <x:c r="G110" s="3"/>
      <x:c r="H110" s="3"/>
      <x:c r="I110" s="3"/>
      <x:c r="J110" s="2"/>
      <x:c r="K110" s="2"/>
      <x:c r="L110" s="2"/>
      <x:c r="M110" s="2"/>
      <x:c r="N110" s="2"/>
      <x:c r="O110" s="2"/>
      <x:c r="P110" s="2"/>
      <x:c r="Q110" s="2"/>
    </x:row>
    <x:row r="111" ht="22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 ht="22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 ht="22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 ht="22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 ht="22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 ht="22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 ht="22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 ht="22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 ht="22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 ht="22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3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2" customHeight="1">
      <x:c r="A2" s="2"/>
      <x:c r="B2" s="2"/>
      <x:c r="C2" s="4" t="str">
        <x:v>Insurance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</x:row>
    <x:row r="3" ht="22" customHeight="1">
      <x:c r="A3" s="2"/>
      <x:c r="B3" s="2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</x:row>
    <x:row r="4" ht="22" customHeight="1">
      <x:c r="A4" s="2"/>
      <x:c r="B4" s="2"/>
      <x:c r="C4" s="2" t="str">
        <x:v>USD millions | FY2025 historical; 2026–2030 forecast</x:v>
      </x:c>
      <x:c r="D4" s="2"/>
      <x:c r="E4" s="2"/>
      <x:c r="F4" s="2"/>
      <x:c r="G4" s="2"/>
      <x:c r="H4" s="2"/>
      <x:c r="I4" s="2"/>
      <x:c r="J4" s="2"/>
      <x:c r="K4" s="2" t="str">
        <x:v>Case Selected:</x:v>
      </x:c>
      <x:c r="L4" s="8" t="str">
        <x:f>CHOOSE(Assumptions!$D$5,"Base","Upside","Downside")</x:f>
        <x:v>Base</x:v>
      </x:c>
      <x:c r="M4" s="2"/>
      <x:c r="N4" s="2"/>
      <x:c r="O4" s="2"/>
      <x:c r="P4" s="2"/>
      <x:c r="Q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2" customHeight="1">
      <x:c r="A6" s="2"/>
      <x:c r="B6" s="2"/>
      <x:c r="C6" s="13" t="str">
        <x:v>Analysis</x:v>
      </x:c>
      <x:c r="D6" s="14"/>
      <x:c r="E6" s="14"/>
      <x:c r="F6" s="14"/>
      <x:c r="G6" s="14"/>
      <x:c r="H6" s="14"/>
      <x:c r="I6" s="14"/>
      <x:c r="J6" s="2"/>
      <x:c r="K6" s="2"/>
      <x:c r="L6" s="2"/>
      <x:c r="M6" s="2"/>
      <x:c r="N6" s="2"/>
      <x:c r="O6" s="2"/>
      <x:c r="P6" s="2"/>
      <x:c r="Q6" s="2"/>
    </x:row>
    <x:row r="7" ht="22" customHeight="1">
      <x:c r="A7" s="2"/>
      <x:c r="B7" s="2"/>
      <x:c r="C7" s="2" t="str">
        <x:v>Property damage</x:v>
      </x:c>
      <x:c r="D7" s="26" t="n">
        <x:f>Assumptions!$D$29</x:f>
        <x:v>100</x:v>
      </x:c>
      <x:c r="E7" s="3"/>
      <x:c r="F7" s="3"/>
      <x:c r="G7" s="3"/>
      <x:c r="H7" s="3"/>
      <x:c r="I7" s="3"/>
      <x:c r="J7" s="2"/>
      <x:c r="K7" s="2"/>
      <x:c r="L7" s="2"/>
      <x:c r="M7" s="2"/>
      <x:c r="N7" s="2"/>
      <x:c r="O7" s="2"/>
      <x:c r="P7" s="2"/>
      <x:c r="Q7" s="2"/>
    </x:row>
    <x:row r="8" ht="22" customHeight="1">
      <x:c r="A8" s="2"/>
      <x:c r="B8" s="2"/>
      <x:c r="C8" s="2" t="str">
        <x:v>Business interruption</x:v>
      </x:c>
      <x:c r="D8" s="26" t="n">
        <x:f>Assumptions!$D$30</x:f>
        <x:v>20</x:v>
      </x:c>
      <x:c r="E8" s="3"/>
      <x:c r="F8" s="3"/>
      <x:c r="G8" s="3"/>
      <x:c r="H8" s="3"/>
      <x:c r="I8" s="3"/>
      <x:c r="J8" s="2"/>
      <x:c r="K8" s="2"/>
      <x:c r="L8" s="2"/>
      <x:c r="M8" s="2"/>
      <x:c r="N8" s="2"/>
      <x:c r="O8" s="2"/>
      <x:c r="P8" s="2"/>
      <x:c r="Q8" s="2"/>
    </x:row>
    <x:row r="9" ht="22" customHeight="1">
      <x:c r="A9" s="2"/>
      <x:c r="B9" s="2"/>
      <x:c r="C9" s="2" t="str">
        <x:v>Gross property and BI loss</x:v>
      </x:c>
      <x:c r="D9" s="27" t="n">
        <x:f>D7+D8</x:f>
        <x:v>120</x:v>
      </x:c>
      <x:c r="E9" s="3"/>
      <x:c r="F9" s="3"/>
      <x:c r="G9" s="3"/>
      <x:c r="H9" s="3"/>
      <x:c r="I9" s="3"/>
      <x:c r="J9" s="2"/>
      <x:c r="K9" s="2"/>
      <x:c r="L9" s="2"/>
      <x:c r="M9" s="2"/>
      <x:c r="N9" s="2"/>
      <x:c r="O9" s="2"/>
      <x:c r="P9" s="2"/>
      <x:c r="Q9" s="2"/>
    </x:row>
    <x:row r="10" ht="22" customHeight="1">
      <x:c r="A10" s="2"/>
      <x:c r="B10" s="2"/>
      <x:c r="C10" s="2" t="str">
        <x:v>Combined deductible</x:v>
      </x:c>
      <x:c r="D10" s="26" t="n">
        <x:f>Assumptions!$D$31</x:f>
        <x:v>10</x:v>
      </x:c>
      <x:c r="E10" s="3"/>
      <x:c r="F10" s="3"/>
      <x:c r="G10" s="3"/>
      <x:c r="H10" s="3"/>
      <x:c r="I10" s="3"/>
      <x:c r="J10" s="2"/>
      <x:c r="K10" s="2"/>
      <x:c r="L10" s="2"/>
      <x:c r="M10" s="2"/>
      <x:c r="N10" s="2"/>
      <x:c r="O10" s="2"/>
      <x:c r="P10" s="2"/>
      <x:c r="Q10" s="2"/>
    </x:row>
    <x:row r="11" ht="22" customHeight="1">
      <x:c r="A11" s="2"/>
      <x:c r="B11" s="2"/>
      <x:c r="C11" s="2" t="str">
        <x:v>Combined insurer limit</x:v>
      </x:c>
      <x:c r="D11" s="26" t="n">
        <x:f>Assumptions!$D$32</x:f>
        <x:v>75</x:v>
      </x:c>
      <x:c r="E11" s="3"/>
      <x:c r="F11" s="3"/>
      <x:c r="G11" s="3"/>
      <x:c r="H11" s="3"/>
      <x:c r="I11" s="3"/>
      <x:c r="J11" s="2"/>
      <x:c r="K11" s="2"/>
      <x:c r="L11" s="2"/>
      <x:c r="M11" s="2"/>
      <x:c r="N11" s="2"/>
      <x:c r="O11" s="2"/>
      <x:c r="P11" s="2"/>
      <x:c r="Q11" s="2"/>
    </x:row>
    <x:row r="12" ht="22" customHeight="1">
      <x:c r="A12" s="2"/>
      <x:c r="B12" s="2"/>
      <x:c r="C12" s="2" t="str">
        <x:v>Insurer recovery</x:v>
      </x:c>
      <x:c r="D12" s="27" t="n">
        <x:f>MIN(MAX(D9-D10,0),D11)</x:f>
        <x:v>75</x:v>
      </x:c>
      <x:c r="E12" s="3"/>
      <x:c r="F12" s="3"/>
      <x:c r="G12" s="3"/>
      <x:c r="H12" s="3"/>
      <x:c r="I12" s="3"/>
      <x:c r="J12" s="2"/>
      <x:c r="K12" s="2"/>
      <x:c r="L12" s="2"/>
      <x:c r="M12" s="2"/>
      <x:c r="N12" s="2"/>
      <x:c r="O12" s="2"/>
      <x:c r="P12" s="2"/>
      <x:c r="Q12" s="2"/>
    </x:row>
    <x:row r="13" ht="22" customHeight="1">
      <x:c r="A13" s="2"/>
      <x:c r="B13" s="2"/>
      <x:c r="C13" s="2" t="str">
        <x:v>Owner retained property / BI loss</x:v>
      </x:c>
      <x:c r="D13" s="27" t="n">
        <x:f>D9-D12</x:f>
        <x:v>45</x:v>
      </x:c>
      <x:c r="E13" s="3"/>
      <x:c r="F13" s="3"/>
      <x:c r="G13" s="3"/>
      <x:c r="H13" s="3"/>
      <x:c r="I13" s="3"/>
      <x:c r="J13" s="2"/>
      <x:c r="K13" s="2"/>
      <x:c r="L13" s="2"/>
      <x:c r="M13" s="2"/>
      <x:c r="N13" s="2"/>
      <x:c r="O13" s="2"/>
      <x:c r="P13" s="2"/>
      <x:c r="Q13" s="2"/>
    </x:row>
    <x:row r="14" ht="22" customHeight="1">
      <x:c r="A14" s="2"/>
      <x:c r="B14" s="2"/>
      <x:c r="C14" s="2"/>
      <x:c r="D14" s="3"/>
      <x:c r="E14" s="3"/>
      <x:c r="F14" s="3"/>
      <x:c r="G14" s="3"/>
      <x:c r="H14" s="3"/>
      <x:c r="I14" s="3"/>
      <x:c r="J14" s="2"/>
      <x:c r="K14" s="2"/>
      <x:c r="L14" s="2"/>
      <x:c r="M14" s="2"/>
      <x:c r="N14" s="2"/>
      <x:c r="O14" s="2"/>
      <x:c r="P14" s="2"/>
      <x:c r="Q14" s="2"/>
    </x:row>
    <x:row r="15" ht="22" customHeight="1">
      <x:c r="A15" s="2"/>
      <x:c r="B15" s="2"/>
      <x:c r="C15" s="2" t="str">
        <x:v>General liability claim count</x:v>
      </x:c>
      <x:c r="D15" s="26" t="n">
        <x:f>Assumptions!$D$33</x:f>
        <x:v>30</x:v>
      </x:c>
      <x:c r="E15" s="3"/>
      <x:c r="F15" s="3"/>
      <x:c r="G15" s="3"/>
      <x:c r="H15" s="3"/>
      <x:c r="I15" s="3"/>
      <x:c r="J15" s="2"/>
      <x:c r="K15" s="2"/>
      <x:c r="L15" s="2"/>
      <x:c r="M15" s="2"/>
      <x:c r="N15" s="2"/>
      <x:c r="O15" s="2"/>
      <x:c r="P15" s="2"/>
      <x:c r="Q15" s="2"/>
    </x:row>
    <x:row r="16" ht="22" customHeight="1">
      <x:c r="A16" s="2"/>
      <x:c r="B16" s="2"/>
      <x:c r="C16" s="2" t="str">
        <x:v>Severity per claim</x:v>
      </x:c>
      <x:c r="D16" s="26" t="n">
        <x:f>Assumptions!$D$34</x:f>
        <x:v>0.4</x:v>
      </x:c>
      <x:c r="E16" s="3"/>
      <x:c r="F16" s="3"/>
      <x:c r="G16" s="3"/>
      <x:c r="H16" s="3"/>
      <x:c r="I16" s="3"/>
      <x:c r="J16" s="2"/>
      <x:c r="K16" s="2"/>
      <x:c r="L16" s="2"/>
      <x:c r="M16" s="2"/>
      <x:c r="N16" s="2"/>
      <x:c r="O16" s="2"/>
      <x:c r="P16" s="2"/>
      <x:c r="Q16" s="2"/>
    </x:row>
    <x:row r="17" ht="22" customHeight="1">
      <x:c r="A17" s="2"/>
      <x:c r="B17" s="2"/>
      <x:c r="C17" s="2" t="str">
        <x:v>Retention per claim</x:v>
      </x:c>
      <x:c r="D17" s="26" t="n">
        <x:f>Assumptions!$D$35</x:f>
        <x:v>0.1</x:v>
      </x:c>
      <x:c r="E17" s="3"/>
      <x:c r="F17" s="3"/>
      <x:c r="G17" s="3"/>
      <x:c r="H17" s="3"/>
      <x:c r="I17" s="3"/>
      <x:c r="J17" s="2"/>
      <x:c r="K17" s="2"/>
      <x:c r="L17" s="2"/>
      <x:c r="M17" s="2"/>
      <x:c r="N17" s="2"/>
      <x:c r="O17" s="2"/>
      <x:c r="P17" s="2"/>
      <x:c r="Q17" s="2"/>
    </x:row>
    <x:row r="18" ht="22" customHeight="1">
      <x:c r="A18" s="2"/>
      <x:c r="B18" s="2"/>
      <x:c r="C18" s="2" t="str">
        <x:v>Insurer limit per claim</x:v>
      </x:c>
      <x:c r="D18" s="26" t="n">
        <x:f>Assumptions!$D$36</x:f>
        <x:v>2</x:v>
      </x:c>
      <x:c r="E18" s="3"/>
      <x:c r="F18" s="3"/>
      <x:c r="G18" s="3"/>
      <x:c r="H18" s="3"/>
      <x:c r="I18" s="3"/>
      <x:c r="J18" s="2"/>
      <x:c r="K18" s="2"/>
      <x:c r="L18" s="2"/>
      <x:c r="M18" s="2"/>
      <x:c r="N18" s="2"/>
      <x:c r="O18" s="2"/>
      <x:c r="P18" s="2"/>
      <x:c r="Q18" s="2"/>
    </x:row>
    <x:row r="19" ht="22" customHeight="1">
      <x:c r="A19" s="2"/>
      <x:c r="B19" s="2"/>
      <x:c r="C19" s="2" t="str">
        <x:v>GL retained loss</x:v>
      </x:c>
      <x:c r="D19" s="27" t="n">
        <x:f>D15*(D16-MIN(MAX(D16-D17,0),D18))</x:f>
        <x:v>2.999999999999999</x:v>
      </x:c>
      <x:c r="E19" s="3"/>
      <x:c r="F19" s="3"/>
      <x:c r="G19" s="3"/>
      <x:c r="H19" s="3"/>
      <x:c r="I19" s="3"/>
      <x:c r="J19" s="2"/>
      <x:c r="K19" s="2"/>
      <x:c r="L19" s="2"/>
      <x:c r="M19" s="2"/>
      <x:c r="N19" s="2"/>
      <x:c r="O19" s="2"/>
      <x:c r="P19" s="2"/>
      <x:c r="Q19" s="2"/>
    </x:row>
    <x:row r="20" ht="22" customHeight="1">
      <x:c r="A20" s="2"/>
      <x:c r="B20" s="2"/>
      <x:c r="C20" s="2"/>
      <x:c r="D20" s="3"/>
      <x:c r="E20" s="3"/>
      <x:c r="F20" s="3"/>
      <x:c r="G20" s="3"/>
      <x:c r="H20" s="3"/>
      <x:c r="I20" s="3"/>
      <x:c r="J20" s="2"/>
      <x:c r="K20" s="2"/>
      <x:c r="L20" s="2"/>
      <x:c r="M20" s="2"/>
      <x:c r="N20" s="2"/>
      <x:c r="O20" s="2"/>
      <x:c r="P20" s="2"/>
      <x:c r="Q20" s="2"/>
    </x:row>
    <x:row r="21" ht="22" customHeight="1">
      <x:c r="A21" s="2"/>
      <x:c r="B21" s="2"/>
      <x:c r="C21" s="2" t="str">
        <x:v>Incremental premium</x:v>
      </x:c>
      <x:c r="D21" s="26" t="n">
        <x:f>Assumptions!$D$37*Assumptions!$D$38</x:f>
        <x:v>3</x:v>
      </x:c>
      <x:c r="E21" s="3"/>
      <x:c r="F21" s="3"/>
      <x:c r="G21" s="3"/>
      <x:c r="H21" s="3"/>
      <x:c r="I21" s="3"/>
      <x:c r="J21" s="2"/>
      <x:c r="K21" s="2"/>
      <x:c r="L21" s="2"/>
      <x:c r="M21" s="2"/>
      <x:c r="N21" s="2"/>
      <x:c r="O21" s="2"/>
      <x:c r="P21" s="2"/>
      <x:c r="Q21" s="2"/>
    </x:row>
    <x:row r="22" ht="22" customHeight="1">
      <x:c r="A22" s="2"/>
      <x:c r="B22" s="2"/>
      <x:c r="C22" s="2" t="str">
        <x:v>Total incremental cash cost</x:v>
      </x:c>
      <x:c r="D22" s="27" t="n">
        <x:f>D13+D19+D21</x:f>
        <x:v>51</x:v>
      </x:c>
      <x:c r="E22" s="3"/>
      <x:c r="F22" s="3"/>
      <x:c r="G22" s="3"/>
      <x:c r="H22" s="3"/>
      <x:c r="I22" s="3"/>
      <x:c r="J22" s="2"/>
      <x:c r="K22" s="2"/>
      <x:c r="L22" s="2"/>
      <x:c r="M22" s="2"/>
      <x:c r="N22" s="2"/>
      <x:c r="O22" s="2"/>
      <x:c r="P22" s="2"/>
      <x:c r="Q22" s="2"/>
    </x:row>
    <x:row r="23" ht="22" customHeight="1">
      <x:c r="A23" s="2"/>
      <x:c r="B23" s="2"/>
      <x:c r="C23" s="2"/>
      <x:c r="D23" s="3"/>
      <x:c r="E23" s="3"/>
      <x:c r="F23" s="3"/>
      <x:c r="G23" s="3"/>
      <x:c r="H23" s="3"/>
      <x:c r="I23" s="3"/>
      <x:c r="J23" s="2"/>
      <x:c r="K23" s="2"/>
      <x:c r="L23" s="2"/>
      <x:c r="M23" s="2"/>
      <x:c r="N23" s="2"/>
      <x:c r="O23" s="2"/>
      <x:c r="P23" s="2"/>
      <x:c r="Q23" s="2"/>
    </x:row>
    <x:row r="24" ht="22" customHeight="1">
      <x:c r="A24" s="2"/>
      <x:c r="B24" s="2"/>
      <x:c r="C24" s="2"/>
      <x:c r="D24" s="3"/>
      <x:c r="E24" s="3"/>
      <x:c r="F24" s="3"/>
      <x:c r="G24" s="3"/>
      <x:c r="H24" s="3"/>
      <x:c r="I24" s="3"/>
      <x:c r="J24" s="2"/>
      <x:c r="K24" s="2"/>
      <x:c r="L24" s="2"/>
      <x:c r="M24" s="2"/>
      <x:c r="N24" s="2"/>
      <x:c r="O24" s="2"/>
      <x:c r="P24" s="2"/>
      <x:c r="Q24" s="2"/>
    </x:row>
    <x:row r="25" ht="22" customHeight="1">
      <x:c r="A25" s="2"/>
      <x:c r="B25" s="2"/>
      <x:c r="C25" s="19" t="str">
        <x:v>All policy terms and claim assumptions are illustrative; these are not Park policy disclosures.</x:v>
      </x:c>
      <x:c r="D25" s="20"/>
      <x:c r="E25" s="20"/>
      <x:c r="F25" s="20"/>
      <x:c r="G25" s="20"/>
      <x:c r="H25" s="20"/>
      <x:c r="I25" s="20"/>
      <x:c r="J25" s="19"/>
      <x:c r="K25" s="19"/>
      <x:c r="L25" s="19"/>
      <x:c r="M25" s="19"/>
      <x:c r="N25" s="2"/>
      <x:c r="O25" s="2"/>
      <x:c r="P25" s="2"/>
      <x:c r="Q25" s="2"/>
    </x:row>
    <x:row r="26" ht="22" customHeight="1">
      <x:c r="A26" s="2"/>
      <x:c r="B26" s="2"/>
      <x:c r="C26" s="2"/>
      <x:c r="D26" s="3"/>
      <x:c r="E26" s="3"/>
      <x:c r="F26" s="3"/>
      <x:c r="G26" s="3"/>
      <x:c r="H26" s="3"/>
      <x:c r="I26" s="3"/>
      <x:c r="J26" s="2"/>
      <x:c r="K26" s="2"/>
      <x:c r="L26" s="2"/>
      <x:c r="M26" s="2"/>
      <x:c r="N26" s="2"/>
      <x:c r="O26" s="2"/>
      <x:c r="P26" s="2"/>
      <x:c r="Q26" s="2"/>
    </x:row>
    <x:row r="27" ht="22" customHeight="1">
      <x:c r="A27" s="2"/>
      <x:c r="B27" s="2"/>
      <x:c r="C27" s="19" t="str">
        <x:v>Property, BI and liability are distinct coverages; the combined property/BI limit is a scenario simplification.</x:v>
      </x:c>
      <x:c r="D27" s="20"/>
      <x:c r="E27" s="20"/>
      <x:c r="F27" s="20"/>
      <x:c r="G27" s="20"/>
      <x:c r="H27" s="20"/>
      <x:c r="I27" s="20"/>
      <x:c r="J27" s="19"/>
      <x:c r="K27" s="19"/>
      <x:c r="L27" s="19"/>
      <x:c r="M27" s="19"/>
      <x:c r="N27" s="2"/>
      <x:c r="O27" s="2"/>
      <x:c r="P27" s="2"/>
      <x:c r="Q27" s="2"/>
    </x:row>
    <x:row r="28" ht="22" customHeight="1">
      <x:c r="A28" s="2"/>
      <x:c r="B28" s="2"/>
      <x:c r="C28" s="2"/>
      <x:c r="D28" s="3"/>
      <x:c r="E28" s="3"/>
      <x:c r="F28" s="3"/>
      <x:c r="G28" s="3"/>
      <x:c r="H28" s="3"/>
      <x:c r="I28" s="3"/>
      <x:c r="J28" s="2"/>
      <x:c r="K28" s="2"/>
      <x:c r="L28" s="2"/>
      <x:c r="M28" s="2"/>
      <x:c r="N28" s="2"/>
      <x:c r="O28" s="2"/>
      <x:c r="P28" s="2"/>
      <x:c r="Q28" s="2"/>
    </x:row>
    <x:row r="29" ht="22" customHeight="1">
      <x:c r="A29" s="2"/>
      <x:c r="B29" s="2"/>
      <x:c r="C29" s="19" t="str">
        <x:v>Assumes immediate recovery and cash-funded restoration, with the net cost expensed in the event year.</x:v>
      </x:c>
      <x:c r="D29" s="20"/>
      <x:c r="E29" s="20"/>
      <x:c r="F29" s="20"/>
      <x:c r="G29" s="20"/>
      <x:c r="H29" s="20"/>
      <x:c r="I29" s="20"/>
      <x:c r="J29" s="19"/>
      <x:c r="K29" s="19"/>
      <x:c r="L29" s="19"/>
      <x:c r="M29" s="19"/>
      <x:c r="N29" s="2"/>
      <x:c r="O29" s="2"/>
      <x:c r="P29" s="2"/>
      <x:c r="Q29" s="2"/>
    </x:row>
    <x:row r="30" ht="22" customHeight="1">
      <x:c r="A30" s="2"/>
      <x:c r="B30" s="2"/>
      <x:c r="C30" s="2"/>
      <x:c r="D30" s="3"/>
      <x:c r="E30" s="3"/>
      <x:c r="F30" s="3"/>
      <x:c r="G30" s="3"/>
      <x:c r="H30" s="3"/>
      <x:c r="I30" s="3"/>
      <x:c r="J30" s="2"/>
      <x:c r="K30" s="2"/>
      <x:c r="L30" s="2"/>
      <x:c r="M30" s="2"/>
      <x:c r="N30" s="2"/>
      <x:c r="O30" s="2"/>
      <x:c r="P30" s="2"/>
      <x:c r="Q30" s="2"/>
    </x:row>
    <x:row r="31" ht="22" customHeight="1">
      <x:c r="A31" s="2"/>
      <x:c r="B31" s="2"/>
      <x:c r="C31" s="19" t="str">
        <x:v>Carrier pricing, loss triangles and expected loss ratios require policy and loss-run data.</x:v>
      </x:c>
      <x:c r="D31" s="20"/>
      <x:c r="E31" s="20"/>
      <x:c r="F31" s="20"/>
      <x:c r="G31" s="20"/>
      <x:c r="H31" s="20"/>
      <x:c r="I31" s="20"/>
      <x:c r="J31" s="19"/>
      <x:c r="K31" s="19"/>
      <x:c r="L31" s="19"/>
      <x:c r="M31" s="19"/>
      <x:c r="N31" s="2"/>
      <x:c r="O31" s="2"/>
      <x:c r="P31" s="2"/>
      <x:c r="Q31" s="2"/>
    </x:row>
    <x:row r="32" ht="22" customHeight="1">
      <x:c r="A32" s="2"/>
      <x:c r="B32" s="2"/>
      <x:c r="C32" s="2"/>
      <x:c r="D32" s="3"/>
      <x:c r="E32" s="3"/>
      <x:c r="F32" s="3"/>
      <x:c r="G32" s="3"/>
      <x:c r="H32" s="3"/>
      <x:c r="I32" s="3"/>
      <x:c r="J32" s="2"/>
      <x:c r="K32" s="2"/>
      <x:c r="L32" s="2"/>
      <x:c r="M32" s="2"/>
      <x:c r="N32" s="2"/>
      <x:c r="O32" s="2"/>
      <x:c r="P32" s="2"/>
      <x:c r="Q32" s="2"/>
    </x:row>
    <x:row r="33" ht="22" customHeight="1">
      <x:c r="A33" s="2"/>
      <x:c r="B33" s="2"/>
      <x:c r="C33" s="2"/>
      <x:c r="D33" s="3"/>
      <x:c r="E33" s="3"/>
      <x:c r="F33" s="3"/>
      <x:c r="G33" s="3"/>
      <x:c r="H33" s="3"/>
      <x:c r="I33" s="3"/>
      <x:c r="J33" s="2"/>
      <x:c r="K33" s="2"/>
      <x:c r="L33" s="2"/>
      <x:c r="M33" s="2"/>
      <x:c r="N33" s="2"/>
      <x:c r="O33" s="2"/>
      <x:c r="P33" s="2"/>
      <x:c r="Q33" s="2"/>
    </x:row>
    <x:row r="34" ht="22" customHeight="1">
      <x:c r="A34" s="2"/>
      <x:c r="B34" s="2"/>
      <x:c r="C34" s="2"/>
      <x:c r="D34" s="3"/>
      <x:c r="E34" s="3"/>
      <x:c r="F34" s="3"/>
      <x:c r="G34" s="3"/>
      <x:c r="H34" s="3"/>
      <x:c r="I34" s="3"/>
      <x:c r="J34" s="2"/>
      <x:c r="K34" s="2"/>
      <x:c r="L34" s="2"/>
      <x:c r="M34" s="2"/>
      <x:c r="N34" s="2"/>
      <x:c r="O34" s="2"/>
      <x:c r="P34" s="2"/>
      <x:c r="Q34" s="2"/>
    </x:row>
    <x:row r="35" ht="22" customHeight="1">
      <x:c r="A35" s="2"/>
      <x:c r="B35" s="2"/>
      <x:c r="C35" s="2"/>
      <x:c r="D35" s="3"/>
      <x:c r="E35" s="3"/>
      <x:c r="F35" s="3"/>
      <x:c r="G35" s="3"/>
      <x:c r="H35" s="3"/>
      <x:c r="I35" s="3"/>
      <x:c r="J35" s="2"/>
      <x:c r="K35" s="2"/>
      <x:c r="L35" s="2"/>
      <x:c r="M35" s="2"/>
      <x:c r="N35" s="2"/>
      <x:c r="O35" s="2"/>
      <x:c r="P35" s="2"/>
      <x:c r="Q35" s="2"/>
    </x:row>
    <x:row r="36" ht="22" customHeight="1">
      <x:c r="A36" s="2"/>
      <x:c r="B36" s="2"/>
      <x:c r="C36" s="2"/>
      <x:c r="D36" s="3"/>
      <x:c r="E36" s="3"/>
      <x:c r="F36" s="3"/>
      <x:c r="G36" s="3"/>
      <x:c r="H36" s="3"/>
      <x:c r="I36" s="3"/>
      <x:c r="J36" s="2"/>
      <x:c r="K36" s="2"/>
      <x:c r="L36" s="2"/>
      <x:c r="M36" s="2"/>
      <x:c r="N36" s="2"/>
      <x:c r="O36" s="2"/>
      <x:c r="P36" s="2"/>
      <x:c r="Q36" s="2"/>
    </x:row>
    <x:row r="37" ht="22" customHeight="1">
      <x:c r="A37" s="2"/>
      <x:c r="B37" s="2"/>
      <x:c r="C37" s="2"/>
      <x:c r="D37" s="3"/>
      <x:c r="E37" s="3"/>
      <x:c r="F37" s="3"/>
      <x:c r="G37" s="3"/>
      <x:c r="H37" s="3"/>
      <x:c r="I37" s="3"/>
      <x:c r="J37" s="2"/>
      <x:c r="K37" s="2"/>
      <x:c r="L37" s="2"/>
      <x:c r="M37" s="2"/>
      <x:c r="N37" s="2"/>
      <x:c r="O37" s="2"/>
      <x:c r="P37" s="2"/>
      <x:c r="Q37" s="2"/>
    </x:row>
    <x:row r="38" ht="22" customHeight="1">
      <x:c r="A38" s="2"/>
      <x:c r="B38" s="2"/>
      <x:c r="C38" s="2"/>
      <x:c r="D38" s="3"/>
      <x:c r="E38" s="3"/>
      <x:c r="F38" s="3"/>
      <x:c r="G38" s="3"/>
      <x:c r="H38" s="3"/>
      <x:c r="I38" s="3"/>
      <x:c r="J38" s="2"/>
      <x:c r="K38" s="2"/>
      <x:c r="L38" s="2"/>
      <x:c r="M38" s="2"/>
      <x:c r="N38" s="2"/>
      <x:c r="O38" s="2"/>
      <x:c r="P38" s="2"/>
      <x:c r="Q38" s="2"/>
    </x:row>
    <x:row r="39" ht="22" customHeight="1">
      <x:c r="A39" s="2"/>
      <x:c r="B39" s="2"/>
      <x:c r="C39" s="2"/>
      <x:c r="D39" s="3"/>
      <x:c r="E39" s="3"/>
      <x:c r="F39" s="3"/>
      <x:c r="G39" s="3"/>
      <x:c r="H39" s="3"/>
      <x:c r="I39" s="3"/>
      <x:c r="J39" s="2"/>
      <x:c r="K39" s="2"/>
      <x:c r="L39" s="2"/>
      <x:c r="M39" s="2"/>
      <x:c r="N39" s="2"/>
      <x:c r="O39" s="2"/>
      <x:c r="P39" s="2"/>
      <x:c r="Q39" s="2"/>
    </x:row>
    <x:row r="40" ht="22" customHeight="1">
      <x:c r="A40" s="2"/>
      <x:c r="B40" s="2"/>
      <x:c r="C40" s="2"/>
      <x:c r="D40" s="3"/>
      <x:c r="E40" s="3"/>
      <x:c r="F40" s="3"/>
      <x:c r="G40" s="3"/>
      <x:c r="H40" s="3"/>
      <x:c r="I40" s="3"/>
      <x:c r="J40" s="2"/>
      <x:c r="K40" s="2"/>
      <x:c r="L40" s="2"/>
      <x:c r="M40" s="2"/>
      <x:c r="N40" s="2"/>
      <x:c r="O40" s="2"/>
      <x:c r="P40" s="2"/>
      <x:c r="Q40" s="2"/>
    </x:row>
    <x:row r="41" ht="22" customHeight="1">
      <x:c r="A41" s="2"/>
      <x:c r="B41" s="2"/>
      <x:c r="C41" s="2"/>
      <x:c r="D41" s="3"/>
      <x:c r="E41" s="3"/>
      <x:c r="F41" s="3"/>
      <x:c r="G41" s="3"/>
      <x:c r="H41" s="3"/>
      <x:c r="I41" s="3"/>
      <x:c r="J41" s="2"/>
      <x:c r="K41" s="2"/>
      <x:c r="L41" s="2"/>
      <x:c r="M41" s="2"/>
      <x:c r="N41" s="2"/>
      <x:c r="O41" s="2"/>
      <x:c r="P41" s="2"/>
      <x:c r="Q41" s="2"/>
    </x:row>
    <x:row r="42" ht="22" customHeight="1">
      <x:c r="A42" s="2"/>
      <x:c r="B42" s="2"/>
      <x:c r="C42" s="2"/>
      <x:c r="D42" s="3"/>
      <x:c r="E42" s="3"/>
      <x:c r="F42" s="3"/>
      <x:c r="G42" s="3"/>
      <x:c r="H42" s="3"/>
      <x:c r="I42" s="3"/>
      <x:c r="J42" s="2"/>
      <x:c r="K42" s="2"/>
      <x:c r="L42" s="2"/>
      <x:c r="M42" s="2"/>
      <x:c r="N42" s="2"/>
      <x:c r="O42" s="2"/>
      <x:c r="P42" s="2"/>
      <x:c r="Q42" s="2"/>
    </x:row>
    <x:row r="43" ht="22" customHeight="1">
      <x:c r="A43" s="2"/>
      <x:c r="B43" s="2"/>
      <x:c r="C43" s="2"/>
      <x:c r="D43" s="3"/>
      <x:c r="E43" s="3"/>
      <x:c r="F43" s="3"/>
      <x:c r="G43" s="3"/>
      <x:c r="H43" s="3"/>
      <x:c r="I43" s="3"/>
      <x:c r="J43" s="2"/>
      <x:c r="K43" s="2"/>
      <x:c r="L43" s="2"/>
      <x:c r="M43" s="2"/>
      <x:c r="N43" s="2"/>
      <x:c r="O43" s="2"/>
      <x:c r="P43" s="2"/>
      <x:c r="Q43" s="2"/>
    </x:row>
    <x:row r="44" ht="22" customHeight="1">
      <x:c r="A44" s="2"/>
      <x:c r="B44" s="2"/>
      <x:c r="C44" s="2"/>
      <x:c r="D44" s="3"/>
      <x:c r="E44" s="3"/>
      <x:c r="F44" s="3"/>
      <x:c r="G44" s="3"/>
      <x:c r="H44" s="3"/>
      <x:c r="I44" s="3"/>
      <x:c r="J44" s="2"/>
      <x:c r="K44" s="2"/>
      <x:c r="L44" s="2"/>
      <x:c r="M44" s="2"/>
      <x:c r="N44" s="2"/>
      <x:c r="O44" s="2"/>
      <x:c r="P44" s="2"/>
      <x:c r="Q44" s="2"/>
    </x:row>
    <x:row r="45" ht="22" customHeight="1">
      <x:c r="A45" s="2"/>
      <x:c r="B45" s="2"/>
      <x:c r="C45" s="2"/>
      <x:c r="D45" s="3"/>
      <x:c r="E45" s="3"/>
      <x:c r="F45" s="3"/>
      <x:c r="G45" s="3"/>
      <x:c r="H45" s="3"/>
      <x:c r="I45" s="3"/>
      <x:c r="J45" s="2"/>
      <x:c r="K45" s="2"/>
      <x:c r="L45" s="2"/>
      <x:c r="M45" s="2"/>
      <x:c r="N45" s="2"/>
      <x:c r="O45" s="2"/>
      <x:c r="P45" s="2"/>
      <x:c r="Q45" s="2"/>
    </x:row>
    <x:row r="46" ht="22" customHeight="1">
      <x:c r="A46" s="2"/>
      <x:c r="B46" s="2"/>
      <x:c r="C46" s="2"/>
      <x:c r="D46" s="3"/>
      <x:c r="E46" s="3"/>
      <x:c r="F46" s="3"/>
      <x:c r="G46" s="3"/>
      <x:c r="H46" s="3"/>
      <x:c r="I46" s="3"/>
      <x:c r="J46" s="2"/>
      <x:c r="K46" s="2"/>
      <x:c r="L46" s="2"/>
      <x:c r="M46" s="2"/>
      <x:c r="N46" s="2"/>
      <x:c r="O46" s="2"/>
      <x:c r="P46" s="2"/>
      <x:c r="Q46" s="2"/>
    </x:row>
    <x:row r="47" ht="22" customHeight="1">
      <x:c r="A47" s="2"/>
      <x:c r="B47" s="2"/>
      <x:c r="C47" s="2"/>
      <x:c r="D47" s="3"/>
      <x:c r="E47" s="3"/>
      <x:c r="F47" s="3"/>
      <x:c r="G47" s="3"/>
      <x:c r="H47" s="3"/>
      <x:c r="I47" s="3"/>
      <x:c r="J47" s="2"/>
      <x:c r="K47" s="2"/>
      <x:c r="L47" s="2"/>
      <x:c r="M47" s="2"/>
      <x:c r="N47" s="2"/>
      <x:c r="O47" s="2"/>
      <x:c r="P47" s="2"/>
      <x:c r="Q47" s="2"/>
    </x:row>
    <x:row r="48" ht="22" customHeight="1">
      <x:c r="A48" s="2"/>
      <x:c r="B48" s="2"/>
      <x:c r="C48" s="2"/>
      <x:c r="D48" s="3"/>
      <x:c r="E48" s="3"/>
      <x:c r="F48" s="3"/>
      <x:c r="G48" s="3"/>
      <x:c r="H48" s="3"/>
      <x:c r="I48" s="3"/>
      <x:c r="J48" s="2"/>
      <x:c r="K48" s="2"/>
      <x:c r="L48" s="2"/>
      <x:c r="M48" s="2"/>
      <x:c r="N48" s="2"/>
      <x:c r="O48" s="2"/>
      <x:c r="P48" s="2"/>
      <x:c r="Q48" s="2"/>
    </x:row>
    <x:row r="49" ht="22" customHeight="1">
      <x:c r="A49" s="2"/>
      <x:c r="B49" s="2"/>
      <x:c r="C49" s="2"/>
      <x:c r="D49" s="3"/>
      <x:c r="E49" s="3"/>
      <x:c r="F49" s="3"/>
      <x:c r="G49" s="3"/>
      <x:c r="H49" s="3"/>
      <x:c r="I49" s="3"/>
      <x:c r="J49" s="2"/>
      <x:c r="K49" s="2"/>
      <x:c r="L49" s="2"/>
      <x:c r="M49" s="2"/>
      <x:c r="N49" s="2"/>
      <x:c r="O49" s="2"/>
      <x:c r="P49" s="2"/>
      <x:c r="Q49" s="2"/>
    </x:row>
    <x:row r="50" ht="22" customHeight="1">
      <x:c r="A50" s="2"/>
      <x:c r="B50" s="2"/>
      <x:c r="C50" s="2"/>
      <x:c r="D50" s="3"/>
      <x:c r="E50" s="3"/>
      <x:c r="F50" s="3"/>
      <x:c r="G50" s="3"/>
      <x:c r="H50" s="3"/>
      <x:c r="I50" s="3"/>
      <x:c r="J50" s="2"/>
      <x:c r="K50" s="2"/>
      <x:c r="L50" s="2"/>
      <x:c r="M50" s="2"/>
      <x:c r="N50" s="2"/>
      <x:c r="O50" s="2"/>
      <x:c r="P50" s="2"/>
      <x:c r="Q50" s="2"/>
    </x:row>
    <x:row r="51" ht="22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2"/>
      <x:c r="K51" s="2"/>
      <x:c r="L51" s="2"/>
      <x:c r="M51" s="2"/>
      <x:c r="N51" s="2"/>
      <x:c r="O51" s="2"/>
      <x:c r="P51" s="2"/>
      <x:c r="Q51" s="2"/>
    </x:row>
    <x:row r="52" ht="22" customHeight="1">
      <x:c r="A52" s="2"/>
      <x:c r="B52" s="2"/>
      <x:c r="C52" s="2"/>
      <x:c r="D52" s="3"/>
      <x:c r="E52" s="3"/>
      <x:c r="F52" s="3"/>
      <x:c r="G52" s="3"/>
      <x:c r="H52" s="3"/>
      <x:c r="I52" s="3"/>
      <x:c r="J52" s="2"/>
      <x:c r="K52" s="2"/>
      <x:c r="L52" s="2"/>
      <x:c r="M52" s="2"/>
      <x:c r="N52" s="2"/>
      <x:c r="O52" s="2"/>
      <x:c r="P52" s="2"/>
      <x:c r="Q52" s="2"/>
    </x:row>
    <x:row r="53" ht="22" customHeight="1">
      <x:c r="A53" s="2"/>
      <x:c r="B53" s="2"/>
      <x:c r="C53" s="2"/>
      <x:c r="D53" s="3"/>
      <x:c r="E53" s="3"/>
      <x:c r="F53" s="3"/>
      <x:c r="G53" s="3"/>
      <x:c r="H53" s="3"/>
      <x:c r="I53" s="3"/>
      <x:c r="J53" s="2"/>
      <x:c r="K53" s="2"/>
      <x:c r="L53" s="2"/>
      <x:c r="M53" s="2"/>
      <x:c r="N53" s="2"/>
      <x:c r="O53" s="2"/>
      <x:c r="P53" s="2"/>
      <x:c r="Q53" s="2"/>
    </x:row>
    <x:row r="54" ht="22" customHeight="1">
      <x:c r="A54" s="2"/>
      <x:c r="B54" s="2"/>
      <x:c r="C54" s="2"/>
      <x:c r="D54" s="3"/>
      <x:c r="E54" s="3"/>
      <x:c r="F54" s="3"/>
      <x:c r="G54" s="3"/>
      <x:c r="H54" s="3"/>
      <x:c r="I54" s="3"/>
      <x:c r="J54" s="2"/>
      <x:c r="K54" s="2"/>
      <x:c r="L54" s="2"/>
      <x:c r="M54" s="2"/>
      <x:c r="N54" s="2"/>
      <x:c r="O54" s="2"/>
      <x:c r="P54" s="2"/>
      <x:c r="Q54" s="2"/>
    </x:row>
    <x:row r="55" ht="22" customHeight="1">
      <x:c r="A55" s="2"/>
      <x:c r="B55" s="2"/>
      <x:c r="C55" s="2"/>
      <x:c r="D55" s="3"/>
      <x:c r="E55" s="3"/>
      <x:c r="F55" s="3"/>
      <x:c r="G55" s="3"/>
      <x:c r="H55" s="3"/>
      <x:c r="I55" s="3"/>
      <x:c r="J55" s="2"/>
      <x:c r="K55" s="2"/>
      <x:c r="L55" s="2"/>
      <x:c r="M55" s="2"/>
      <x:c r="N55" s="2"/>
      <x:c r="O55" s="2"/>
      <x:c r="P55" s="2"/>
      <x:c r="Q55" s="2"/>
    </x:row>
    <x:row r="56" ht="22" customHeight="1">
      <x:c r="A56" s="2"/>
      <x:c r="B56" s="2"/>
      <x:c r="C56" s="2"/>
      <x:c r="D56" s="3"/>
      <x:c r="E56" s="3"/>
      <x:c r="F56" s="3"/>
      <x:c r="G56" s="3"/>
      <x:c r="H56" s="3"/>
      <x:c r="I56" s="3"/>
      <x:c r="J56" s="2"/>
      <x:c r="K56" s="2"/>
      <x:c r="L56" s="2"/>
      <x:c r="M56" s="2"/>
      <x:c r="N56" s="2"/>
      <x:c r="O56" s="2"/>
      <x:c r="P56" s="2"/>
      <x:c r="Q56" s="2"/>
    </x:row>
    <x:row r="57" ht="22" customHeight="1">
      <x:c r="A57" s="2"/>
      <x:c r="B57" s="2"/>
      <x:c r="C57" s="2"/>
      <x:c r="D57" s="3"/>
      <x:c r="E57" s="3"/>
      <x:c r="F57" s="3"/>
      <x:c r="G57" s="3"/>
      <x:c r="H57" s="3"/>
      <x:c r="I57" s="3"/>
      <x:c r="J57" s="2"/>
      <x:c r="K57" s="2"/>
      <x:c r="L57" s="2"/>
      <x:c r="M57" s="2"/>
      <x:c r="N57" s="2"/>
      <x:c r="O57" s="2"/>
      <x:c r="P57" s="2"/>
      <x:c r="Q57" s="2"/>
    </x:row>
    <x:row r="58" ht="22" customHeight="1">
      <x:c r="A58" s="2"/>
      <x:c r="B58" s="2"/>
      <x:c r="C58" s="2"/>
      <x:c r="D58" s="3"/>
      <x:c r="E58" s="3"/>
      <x:c r="F58" s="3"/>
      <x:c r="G58" s="3"/>
      <x:c r="H58" s="3"/>
      <x:c r="I58" s="3"/>
      <x:c r="J58" s="2"/>
      <x:c r="K58" s="2"/>
      <x:c r="L58" s="2"/>
      <x:c r="M58" s="2"/>
      <x:c r="N58" s="2"/>
      <x:c r="O58" s="2"/>
      <x:c r="P58" s="2"/>
      <x:c r="Q58" s="2"/>
    </x:row>
    <x:row r="59" ht="22" customHeight="1">
      <x:c r="A59" s="2"/>
      <x:c r="B59" s="2"/>
      <x:c r="C59" s="2"/>
      <x:c r="D59" s="3"/>
      <x:c r="E59" s="3"/>
      <x:c r="F59" s="3"/>
      <x:c r="G59" s="3"/>
      <x:c r="H59" s="3"/>
      <x:c r="I59" s="3"/>
      <x:c r="J59" s="2"/>
      <x:c r="K59" s="2"/>
      <x:c r="L59" s="2"/>
      <x:c r="M59" s="2"/>
      <x:c r="N59" s="2"/>
      <x:c r="O59" s="2"/>
      <x:c r="P59" s="2"/>
      <x:c r="Q59" s="2"/>
    </x:row>
    <x:row r="60" ht="22" customHeight="1">
      <x:c r="A60" s="2"/>
      <x:c r="B60" s="2"/>
      <x:c r="C60" s="2"/>
      <x:c r="D60" s="3"/>
      <x:c r="E60" s="3"/>
      <x:c r="F60" s="3"/>
      <x:c r="G60" s="3"/>
      <x:c r="H60" s="3"/>
      <x:c r="I60" s="3"/>
      <x:c r="J60" s="2"/>
      <x:c r="K60" s="2"/>
      <x:c r="L60" s="2"/>
      <x:c r="M60" s="2"/>
      <x:c r="N60" s="2"/>
      <x:c r="O60" s="2"/>
      <x:c r="P60" s="2"/>
      <x:c r="Q60" s="2"/>
    </x:row>
    <x:row r="61" ht="22" customHeight="1">
      <x:c r="A61" s="2"/>
      <x:c r="B61" s="2"/>
      <x:c r="C61" s="2"/>
      <x:c r="D61" s="3"/>
      <x:c r="E61" s="3"/>
      <x:c r="F61" s="3"/>
      <x:c r="G61" s="3"/>
      <x:c r="H61" s="3"/>
      <x:c r="I61" s="3"/>
      <x:c r="J61" s="2"/>
      <x:c r="K61" s="2"/>
      <x:c r="L61" s="2"/>
      <x:c r="M61" s="2"/>
      <x:c r="N61" s="2"/>
      <x:c r="O61" s="2"/>
      <x:c r="P61" s="2"/>
      <x:c r="Q61" s="2"/>
    </x:row>
    <x:row r="62" ht="22" customHeight="1">
      <x:c r="A62" s="2"/>
      <x:c r="B62" s="2"/>
      <x:c r="C62" s="2"/>
      <x:c r="D62" s="3"/>
      <x:c r="E62" s="3"/>
      <x:c r="F62" s="3"/>
      <x:c r="G62" s="3"/>
      <x:c r="H62" s="3"/>
      <x:c r="I62" s="3"/>
      <x:c r="J62" s="2"/>
      <x:c r="K62" s="2"/>
      <x:c r="L62" s="2"/>
      <x:c r="M62" s="2"/>
      <x:c r="N62" s="2"/>
      <x:c r="O62" s="2"/>
      <x:c r="P62" s="2"/>
      <x:c r="Q62" s="2"/>
    </x:row>
    <x:row r="63" ht="22" customHeight="1">
      <x:c r="A63" s="2"/>
      <x:c r="B63" s="2"/>
      <x:c r="C63" s="2"/>
      <x:c r="D63" s="3"/>
      <x:c r="E63" s="3"/>
      <x:c r="F63" s="3"/>
      <x:c r="G63" s="3"/>
      <x:c r="H63" s="3"/>
      <x:c r="I63" s="3"/>
      <x:c r="J63" s="2"/>
      <x:c r="K63" s="2"/>
      <x:c r="L63" s="2"/>
      <x:c r="M63" s="2"/>
      <x:c r="N63" s="2"/>
      <x:c r="O63" s="2"/>
      <x:c r="P63" s="2"/>
      <x:c r="Q63" s="2"/>
    </x:row>
    <x:row r="64" ht="22" customHeight="1">
      <x:c r="A64" s="2"/>
      <x:c r="B64" s="2"/>
      <x:c r="C64" s="2"/>
      <x:c r="D64" s="3"/>
      <x:c r="E64" s="3"/>
      <x:c r="F64" s="3"/>
      <x:c r="G64" s="3"/>
      <x:c r="H64" s="3"/>
      <x:c r="I64" s="3"/>
      <x:c r="J64" s="2"/>
      <x:c r="K64" s="2"/>
      <x:c r="L64" s="2"/>
      <x:c r="M64" s="2"/>
      <x:c r="N64" s="2"/>
      <x:c r="O64" s="2"/>
      <x:c r="P64" s="2"/>
      <x:c r="Q64" s="2"/>
    </x:row>
    <x:row r="65" ht="22" customHeight="1">
      <x:c r="A65" s="2"/>
      <x:c r="B65" s="2"/>
      <x:c r="C65" s="2"/>
      <x:c r="D65" s="3"/>
      <x:c r="E65" s="3"/>
      <x:c r="F65" s="3"/>
      <x:c r="G65" s="3"/>
      <x:c r="H65" s="3"/>
      <x:c r="I65" s="3"/>
      <x:c r="J65" s="2"/>
      <x:c r="K65" s="2"/>
      <x:c r="L65" s="2"/>
      <x:c r="M65" s="2"/>
      <x:c r="N65" s="2"/>
      <x:c r="O65" s="2"/>
      <x:c r="P65" s="2"/>
      <x:c r="Q65" s="2"/>
    </x:row>
    <x:row r="66" ht="22" customHeight="1">
      <x:c r="A66" s="2"/>
      <x:c r="B66" s="2"/>
      <x:c r="C66" s="2"/>
      <x:c r="D66" s="3"/>
      <x:c r="E66" s="3"/>
      <x:c r="F66" s="3"/>
      <x:c r="G66" s="3"/>
      <x:c r="H66" s="3"/>
      <x:c r="I66" s="3"/>
      <x:c r="J66" s="2"/>
      <x:c r="K66" s="2"/>
      <x:c r="L66" s="2"/>
      <x:c r="M66" s="2"/>
      <x:c r="N66" s="2"/>
      <x:c r="O66" s="2"/>
      <x:c r="P66" s="2"/>
      <x:c r="Q66" s="2"/>
    </x:row>
    <x:row r="67" ht="22" customHeight="1">
      <x:c r="A67" s="2"/>
      <x:c r="B67" s="2"/>
      <x:c r="C67" s="2"/>
      <x:c r="D67" s="3"/>
      <x:c r="E67" s="3"/>
      <x:c r="F67" s="3"/>
      <x:c r="G67" s="3"/>
      <x:c r="H67" s="3"/>
      <x:c r="I67" s="3"/>
      <x:c r="J67" s="2"/>
      <x:c r="K67" s="2"/>
      <x:c r="L67" s="2"/>
      <x:c r="M67" s="2"/>
      <x:c r="N67" s="2"/>
      <x:c r="O67" s="2"/>
      <x:c r="P67" s="2"/>
      <x:c r="Q67" s="2"/>
    </x:row>
    <x:row r="68" ht="22" customHeight="1">
      <x:c r="A68" s="2"/>
      <x:c r="B68" s="2"/>
      <x:c r="C68" s="2"/>
      <x:c r="D68" s="3"/>
      <x:c r="E68" s="3"/>
      <x:c r="F68" s="3"/>
      <x:c r="G68" s="3"/>
      <x:c r="H68" s="3"/>
      <x:c r="I68" s="3"/>
      <x:c r="J68" s="2"/>
      <x:c r="K68" s="2"/>
      <x:c r="L68" s="2"/>
      <x:c r="M68" s="2"/>
      <x:c r="N68" s="2"/>
      <x:c r="O68" s="2"/>
      <x:c r="P68" s="2"/>
      <x:c r="Q68" s="2"/>
    </x:row>
    <x:row r="69" ht="22" customHeight="1">
      <x:c r="A69" s="2"/>
      <x:c r="B69" s="2"/>
      <x:c r="C69" s="2"/>
      <x:c r="D69" s="3"/>
      <x:c r="E69" s="3"/>
      <x:c r="F69" s="3"/>
      <x:c r="G69" s="3"/>
      <x:c r="H69" s="3"/>
      <x:c r="I69" s="3"/>
      <x:c r="J69" s="2"/>
      <x:c r="K69" s="2"/>
      <x:c r="L69" s="2"/>
      <x:c r="M69" s="2"/>
      <x:c r="N69" s="2"/>
      <x:c r="O69" s="2"/>
      <x:c r="P69" s="2"/>
      <x:c r="Q69" s="2"/>
    </x:row>
    <x:row r="70" ht="22" customHeight="1">
      <x:c r="A70" s="2"/>
      <x:c r="B70" s="2"/>
      <x:c r="C70" s="2"/>
      <x:c r="D70" s="3"/>
      <x:c r="E70" s="3"/>
      <x:c r="F70" s="3"/>
      <x:c r="G70" s="3"/>
      <x:c r="H70" s="3"/>
      <x:c r="I70" s="3"/>
      <x:c r="J70" s="2"/>
      <x:c r="K70" s="2"/>
      <x:c r="L70" s="2"/>
      <x:c r="M70" s="2"/>
      <x:c r="N70" s="2"/>
      <x:c r="O70" s="2"/>
      <x:c r="P70" s="2"/>
      <x:c r="Q70" s="2"/>
    </x:row>
    <x:row r="71" ht="22" customHeight="1">
      <x:c r="A71" s="2"/>
      <x:c r="B71" s="2"/>
      <x:c r="C71" s="2"/>
      <x:c r="D71" s="3"/>
      <x:c r="E71" s="3"/>
      <x:c r="F71" s="3"/>
      <x:c r="G71" s="3"/>
      <x:c r="H71" s="3"/>
      <x:c r="I71" s="3"/>
      <x:c r="J71" s="2"/>
      <x:c r="K71" s="2"/>
      <x:c r="L71" s="2"/>
      <x:c r="M71" s="2"/>
      <x:c r="N71" s="2"/>
      <x:c r="O71" s="2"/>
      <x:c r="P71" s="2"/>
      <x:c r="Q71" s="2"/>
    </x:row>
    <x:row r="72" ht="22" customHeight="1">
      <x:c r="A72" s="2"/>
      <x:c r="B72" s="2"/>
      <x:c r="C72" s="2"/>
      <x:c r="D72" s="3"/>
      <x:c r="E72" s="3"/>
      <x:c r="F72" s="3"/>
      <x:c r="G72" s="3"/>
      <x:c r="H72" s="3"/>
      <x:c r="I72" s="3"/>
      <x:c r="J72" s="2"/>
      <x:c r="K72" s="2"/>
      <x:c r="L72" s="2"/>
      <x:c r="M72" s="2"/>
      <x:c r="N72" s="2"/>
      <x:c r="O72" s="2"/>
      <x:c r="P72" s="2"/>
      <x:c r="Q72" s="2"/>
    </x:row>
    <x:row r="73" ht="22" customHeight="1">
      <x:c r="A73" s="2"/>
      <x:c r="B73" s="2"/>
      <x:c r="C73" s="2"/>
      <x:c r="D73" s="3"/>
      <x:c r="E73" s="3"/>
      <x:c r="F73" s="3"/>
      <x:c r="G73" s="3"/>
      <x:c r="H73" s="3"/>
      <x:c r="I73" s="3"/>
      <x:c r="J73" s="2"/>
      <x:c r="K73" s="2"/>
      <x:c r="L73" s="2"/>
      <x:c r="M73" s="2"/>
      <x:c r="N73" s="2"/>
      <x:c r="O73" s="2"/>
      <x:c r="P73" s="2"/>
      <x:c r="Q73" s="2"/>
    </x:row>
    <x:row r="74" ht="22" customHeight="1">
      <x:c r="A74" s="2"/>
      <x:c r="B74" s="2"/>
      <x:c r="C74" s="2"/>
      <x:c r="D74" s="3"/>
      <x:c r="E74" s="3"/>
      <x:c r="F74" s="3"/>
      <x:c r="G74" s="3"/>
      <x:c r="H74" s="3"/>
      <x:c r="I74" s="3"/>
      <x:c r="J74" s="2"/>
      <x:c r="K74" s="2"/>
      <x:c r="L74" s="2"/>
      <x:c r="M74" s="2"/>
      <x:c r="N74" s="2"/>
      <x:c r="O74" s="2"/>
      <x:c r="P74" s="2"/>
      <x:c r="Q74" s="2"/>
    </x:row>
    <x:row r="75" ht="22" customHeight="1">
      <x:c r="A75" s="2"/>
      <x:c r="B75" s="2"/>
      <x:c r="C75" s="2"/>
      <x:c r="D75" s="3"/>
      <x:c r="E75" s="3"/>
      <x:c r="F75" s="3"/>
      <x:c r="G75" s="3"/>
      <x:c r="H75" s="3"/>
      <x:c r="I75" s="3"/>
      <x:c r="J75" s="2"/>
      <x:c r="K75" s="2"/>
      <x:c r="L75" s="2"/>
      <x:c r="M75" s="2"/>
      <x:c r="N75" s="2"/>
      <x:c r="O75" s="2"/>
      <x:c r="P75" s="2"/>
      <x:c r="Q75" s="2"/>
    </x:row>
    <x:row r="76" ht="22" customHeight="1">
      <x:c r="A76" s="2"/>
      <x:c r="B76" s="2"/>
      <x:c r="C76" s="2"/>
      <x:c r="D76" s="3"/>
      <x:c r="E76" s="3"/>
      <x:c r="F76" s="3"/>
      <x:c r="G76" s="3"/>
      <x:c r="H76" s="3"/>
      <x:c r="I76" s="3"/>
      <x:c r="J76" s="2"/>
      <x:c r="K76" s="2"/>
      <x:c r="L76" s="2"/>
      <x:c r="M76" s="2"/>
      <x:c r="N76" s="2"/>
      <x:c r="O76" s="2"/>
      <x:c r="P76" s="2"/>
      <x:c r="Q76" s="2"/>
    </x:row>
    <x:row r="77" ht="22" customHeight="1">
      <x:c r="A77" s="2"/>
      <x:c r="B77" s="2"/>
      <x:c r="C77" s="2"/>
      <x:c r="D77" s="3"/>
      <x:c r="E77" s="3"/>
      <x:c r="F77" s="3"/>
      <x:c r="G77" s="3"/>
      <x:c r="H77" s="3"/>
      <x:c r="I77" s="3"/>
      <x:c r="J77" s="2"/>
      <x:c r="K77" s="2"/>
      <x:c r="L77" s="2"/>
      <x:c r="M77" s="2"/>
      <x:c r="N77" s="2"/>
      <x:c r="O77" s="2"/>
      <x:c r="P77" s="2"/>
      <x:c r="Q77" s="2"/>
    </x:row>
    <x:row r="78" ht="22" customHeight="1">
      <x:c r="A78" s="2"/>
      <x:c r="B78" s="2"/>
      <x:c r="C78" s="2"/>
      <x:c r="D78" s="3"/>
      <x:c r="E78" s="3"/>
      <x:c r="F78" s="3"/>
      <x:c r="G78" s="3"/>
      <x:c r="H78" s="3"/>
      <x:c r="I78" s="3"/>
      <x:c r="J78" s="2"/>
      <x:c r="K78" s="2"/>
      <x:c r="L78" s="2"/>
      <x:c r="M78" s="2"/>
      <x:c r="N78" s="2"/>
      <x:c r="O78" s="2"/>
      <x:c r="P78" s="2"/>
      <x:c r="Q78" s="2"/>
    </x:row>
    <x:row r="79" ht="22" customHeight="1">
      <x:c r="A79" s="2"/>
      <x:c r="B79" s="2"/>
      <x:c r="C79" s="2"/>
      <x:c r="D79" s="3"/>
      <x:c r="E79" s="3"/>
      <x:c r="F79" s="3"/>
      <x:c r="G79" s="3"/>
      <x:c r="H79" s="3"/>
      <x:c r="I79" s="3"/>
      <x:c r="J79" s="2"/>
      <x:c r="K79" s="2"/>
      <x:c r="L79" s="2"/>
      <x:c r="M79" s="2"/>
      <x:c r="N79" s="2"/>
      <x:c r="O79" s="2"/>
      <x:c r="P79" s="2"/>
      <x:c r="Q79" s="2"/>
    </x:row>
    <x:row r="80" ht="22" customHeight="1">
      <x:c r="A80" s="2"/>
      <x:c r="B80" s="2"/>
      <x:c r="C80" s="2"/>
      <x:c r="D80" s="3"/>
      <x:c r="E80" s="3"/>
      <x:c r="F80" s="3"/>
      <x:c r="G80" s="3"/>
      <x:c r="H80" s="3"/>
      <x:c r="I80" s="3"/>
      <x:c r="J80" s="2"/>
      <x:c r="K80" s="2"/>
      <x:c r="L80" s="2"/>
      <x:c r="M80" s="2"/>
      <x:c r="N80" s="2"/>
      <x:c r="O80" s="2"/>
      <x:c r="P80" s="2"/>
      <x:c r="Q80" s="2"/>
    </x:row>
    <x:row r="81" ht="22" customHeight="1">
      <x:c r="A81" s="2"/>
      <x:c r="B81" s="2"/>
      <x:c r="C81" s="2"/>
      <x:c r="D81" s="3"/>
      <x:c r="E81" s="3"/>
      <x:c r="F81" s="3"/>
      <x:c r="G81" s="3"/>
      <x:c r="H81" s="3"/>
      <x:c r="I81" s="3"/>
      <x:c r="J81" s="2"/>
      <x:c r="K81" s="2"/>
      <x:c r="L81" s="2"/>
      <x:c r="M81" s="2"/>
      <x:c r="N81" s="2"/>
      <x:c r="O81" s="2"/>
      <x:c r="P81" s="2"/>
      <x:c r="Q81" s="2"/>
    </x:row>
    <x:row r="82" ht="22" customHeight="1">
      <x:c r="A82" s="2"/>
      <x:c r="B82" s="2"/>
      <x:c r="C82" s="2"/>
      <x:c r="D82" s="3"/>
      <x:c r="E82" s="3"/>
      <x:c r="F82" s="3"/>
      <x:c r="G82" s="3"/>
      <x:c r="H82" s="3"/>
      <x:c r="I82" s="3"/>
      <x:c r="J82" s="2"/>
      <x:c r="K82" s="2"/>
      <x:c r="L82" s="2"/>
      <x:c r="M82" s="2"/>
      <x:c r="N82" s="2"/>
      <x:c r="O82" s="2"/>
      <x:c r="P82" s="2"/>
      <x:c r="Q82" s="2"/>
    </x:row>
    <x:row r="83" ht="22" customHeight="1">
      <x:c r="A83" s="2"/>
      <x:c r="B83" s="2"/>
      <x:c r="C83" s="2"/>
      <x:c r="D83" s="3"/>
      <x:c r="E83" s="3"/>
      <x:c r="F83" s="3"/>
      <x:c r="G83" s="3"/>
      <x:c r="H83" s="3"/>
      <x:c r="I83" s="3"/>
      <x:c r="J83" s="2"/>
      <x:c r="K83" s="2"/>
      <x:c r="L83" s="2"/>
      <x:c r="M83" s="2"/>
      <x:c r="N83" s="2"/>
      <x:c r="O83" s="2"/>
      <x:c r="P83" s="2"/>
      <x:c r="Q83" s="2"/>
    </x:row>
    <x:row r="84" ht="22" customHeight="1">
      <x:c r="A84" s="2"/>
      <x:c r="B84" s="2"/>
      <x:c r="C84" s="2"/>
      <x:c r="D84" s="3"/>
      <x:c r="E84" s="3"/>
      <x:c r="F84" s="3"/>
      <x:c r="G84" s="3"/>
      <x:c r="H84" s="3"/>
      <x:c r="I84" s="3"/>
      <x:c r="J84" s="2"/>
      <x:c r="K84" s="2"/>
      <x:c r="L84" s="2"/>
      <x:c r="M84" s="2"/>
      <x:c r="N84" s="2"/>
      <x:c r="O84" s="2"/>
      <x:c r="P84" s="2"/>
      <x:c r="Q84" s="2"/>
    </x:row>
    <x:row r="85" ht="22" customHeight="1">
      <x:c r="A85" s="2"/>
      <x:c r="B85" s="2"/>
      <x:c r="C85" s="2"/>
      <x:c r="D85" s="3"/>
      <x:c r="E85" s="3"/>
      <x:c r="F85" s="3"/>
      <x:c r="G85" s="3"/>
      <x:c r="H85" s="3"/>
      <x:c r="I85" s="3"/>
      <x:c r="J85" s="2"/>
      <x:c r="K85" s="2"/>
      <x:c r="L85" s="2"/>
      <x:c r="M85" s="2"/>
      <x:c r="N85" s="2"/>
      <x:c r="O85" s="2"/>
      <x:c r="P85" s="2"/>
      <x:c r="Q85" s="2"/>
    </x:row>
    <x:row r="86" ht="22" customHeight="1">
      <x:c r="A86" s="2"/>
      <x:c r="B86" s="2"/>
      <x:c r="C86" s="2"/>
      <x:c r="D86" s="3"/>
      <x:c r="E86" s="3"/>
      <x:c r="F86" s="3"/>
      <x:c r="G86" s="3"/>
      <x:c r="H86" s="3"/>
      <x:c r="I86" s="3"/>
      <x:c r="J86" s="2"/>
      <x:c r="K86" s="2"/>
      <x:c r="L86" s="2"/>
      <x:c r="M86" s="2"/>
      <x:c r="N86" s="2"/>
      <x:c r="O86" s="2"/>
      <x:c r="P86" s="2"/>
      <x:c r="Q86" s="2"/>
    </x:row>
    <x:row r="87" ht="22" customHeight="1">
      <x:c r="A87" s="2"/>
      <x:c r="B87" s="2"/>
      <x:c r="C87" s="2"/>
      <x:c r="D87" s="3"/>
      <x:c r="E87" s="3"/>
      <x:c r="F87" s="3"/>
      <x:c r="G87" s="3"/>
      <x:c r="H87" s="3"/>
      <x:c r="I87" s="3"/>
      <x:c r="J87" s="2"/>
      <x:c r="K87" s="2"/>
      <x:c r="L87" s="2"/>
      <x:c r="M87" s="2"/>
      <x:c r="N87" s="2"/>
      <x:c r="O87" s="2"/>
      <x:c r="P87" s="2"/>
      <x:c r="Q87" s="2"/>
    </x:row>
    <x:row r="88" ht="22" customHeight="1">
      <x:c r="A88" s="2"/>
      <x:c r="B88" s="2"/>
      <x:c r="C88" s="2"/>
      <x:c r="D88" s="3"/>
      <x:c r="E88" s="3"/>
      <x:c r="F88" s="3"/>
      <x:c r="G88" s="3"/>
      <x:c r="H88" s="3"/>
      <x:c r="I88" s="3"/>
      <x:c r="J88" s="2"/>
      <x:c r="K88" s="2"/>
      <x:c r="L88" s="2"/>
      <x:c r="M88" s="2"/>
      <x:c r="N88" s="2"/>
      <x:c r="O88" s="2"/>
      <x:c r="P88" s="2"/>
      <x:c r="Q88" s="2"/>
    </x:row>
    <x:row r="89" ht="22" customHeight="1">
      <x:c r="A89" s="2"/>
      <x:c r="B89" s="2"/>
      <x:c r="C89" s="2"/>
      <x:c r="D89" s="3"/>
      <x:c r="E89" s="3"/>
      <x:c r="F89" s="3"/>
      <x:c r="G89" s="3"/>
      <x:c r="H89" s="3"/>
      <x:c r="I89" s="3"/>
      <x:c r="J89" s="2"/>
      <x:c r="K89" s="2"/>
      <x:c r="L89" s="2"/>
      <x:c r="M89" s="2"/>
      <x:c r="N89" s="2"/>
      <x:c r="O89" s="2"/>
      <x:c r="P89" s="2"/>
      <x:c r="Q89" s="2"/>
    </x:row>
    <x:row r="90" ht="22" customHeight="1">
      <x:c r="A90" s="2"/>
      <x:c r="B90" s="2"/>
      <x:c r="C90" s="2"/>
      <x:c r="D90" s="3"/>
      <x:c r="E90" s="3"/>
      <x:c r="F90" s="3"/>
      <x:c r="G90" s="3"/>
      <x:c r="H90" s="3"/>
      <x:c r="I90" s="3"/>
      <x:c r="J90" s="2"/>
      <x:c r="K90" s="2"/>
      <x:c r="L90" s="2"/>
      <x:c r="M90" s="2"/>
      <x:c r="N90" s="2"/>
      <x:c r="O90" s="2"/>
      <x:c r="P90" s="2"/>
      <x:c r="Q90" s="2"/>
    </x:row>
    <x:row r="91" ht="22" customHeight="1">
      <x:c r="A91" s="2"/>
      <x:c r="B91" s="2"/>
      <x:c r="C91" s="2"/>
      <x:c r="D91" s="3"/>
      <x:c r="E91" s="3"/>
      <x:c r="F91" s="3"/>
      <x:c r="G91" s="3"/>
      <x:c r="H91" s="3"/>
      <x:c r="I91" s="3"/>
      <x:c r="J91" s="2"/>
      <x:c r="K91" s="2"/>
      <x:c r="L91" s="2"/>
      <x:c r="M91" s="2"/>
      <x:c r="N91" s="2"/>
      <x:c r="O91" s="2"/>
      <x:c r="P91" s="2"/>
      <x:c r="Q91" s="2"/>
    </x:row>
    <x:row r="92" ht="22" customHeight="1">
      <x:c r="A92" s="2"/>
      <x:c r="B92" s="2"/>
      <x:c r="C92" s="2"/>
      <x:c r="D92" s="3"/>
      <x:c r="E92" s="3"/>
      <x:c r="F92" s="3"/>
      <x:c r="G92" s="3"/>
      <x:c r="H92" s="3"/>
      <x:c r="I92" s="3"/>
      <x:c r="J92" s="2"/>
      <x:c r="K92" s="2"/>
      <x:c r="L92" s="2"/>
      <x:c r="M92" s="2"/>
      <x:c r="N92" s="2"/>
      <x:c r="O92" s="2"/>
      <x:c r="P92" s="2"/>
      <x:c r="Q92" s="2"/>
    </x:row>
    <x:row r="93" ht="22" customHeight="1">
      <x:c r="A93" s="2"/>
      <x:c r="B93" s="2"/>
      <x:c r="C93" s="2"/>
      <x:c r="D93" s="3"/>
      <x:c r="E93" s="3"/>
      <x:c r="F93" s="3"/>
      <x:c r="G93" s="3"/>
      <x:c r="H93" s="3"/>
      <x:c r="I93" s="3"/>
      <x:c r="J93" s="2"/>
      <x:c r="K93" s="2"/>
      <x:c r="L93" s="2"/>
      <x:c r="M93" s="2"/>
      <x:c r="N93" s="2"/>
      <x:c r="O93" s="2"/>
      <x:c r="P93" s="2"/>
      <x:c r="Q93" s="2"/>
    </x:row>
    <x:row r="94" ht="22" customHeight="1">
      <x:c r="A94" s="2"/>
      <x:c r="B94" s="2"/>
      <x:c r="C94" s="2"/>
      <x:c r="D94" s="3"/>
      <x:c r="E94" s="3"/>
      <x:c r="F94" s="3"/>
      <x:c r="G94" s="3"/>
      <x:c r="H94" s="3"/>
      <x:c r="I94" s="3"/>
      <x:c r="J94" s="2"/>
      <x:c r="K94" s="2"/>
      <x:c r="L94" s="2"/>
      <x:c r="M94" s="2"/>
      <x:c r="N94" s="2"/>
      <x:c r="O94" s="2"/>
      <x:c r="P94" s="2"/>
      <x:c r="Q94" s="2"/>
    </x:row>
    <x:row r="95" ht="22" customHeight="1">
      <x:c r="A95" s="2"/>
      <x:c r="B95" s="2"/>
      <x:c r="C95" s="2"/>
      <x:c r="D95" s="3"/>
      <x:c r="E95" s="3"/>
      <x:c r="F95" s="3"/>
      <x:c r="G95" s="3"/>
      <x:c r="H95" s="3"/>
      <x:c r="I95" s="3"/>
      <x:c r="J95" s="2"/>
      <x:c r="K95" s="2"/>
      <x:c r="L95" s="2"/>
      <x:c r="M95" s="2"/>
      <x:c r="N95" s="2"/>
      <x:c r="O95" s="2"/>
      <x:c r="P95" s="2"/>
      <x:c r="Q95" s="2"/>
    </x:row>
    <x:row r="96" ht="22" customHeight="1">
      <x:c r="A96" s="2"/>
      <x:c r="B96" s="2"/>
      <x:c r="C96" s="2"/>
      <x:c r="D96" s="3"/>
      <x:c r="E96" s="3"/>
      <x:c r="F96" s="3"/>
      <x:c r="G96" s="3"/>
      <x:c r="H96" s="3"/>
      <x:c r="I96" s="3"/>
      <x:c r="J96" s="2"/>
      <x:c r="K96" s="2"/>
      <x:c r="L96" s="2"/>
      <x:c r="M96" s="2"/>
      <x:c r="N96" s="2"/>
      <x:c r="O96" s="2"/>
      <x:c r="P96" s="2"/>
      <x:c r="Q96" s="2"/>
    </x:row>
    <x:row r="97" ht="22" customHeight="1">
      <x:c r="A97" s="2"/>
      <x:c r="B97" s="2"/>
      <x:c r="C97" s="2"/>
      <x:c r="D97" s="3"/>
      <x:c r="E97" s="3"/>
      <x:c r="F97" s="3"/>
      <x:c r="G97" s="3"/>
      <x:c r="H97" s="3"/>
      <x:c r="I97" s="3"/>
      <x:c r="J97" s="2"/>
      <x:c r="K97" s="2"/>
      <x:c r="L97" s="2"/>
      <x:c r="M97" s="2"/>
      <x:c r="N97" s="2"/>
      <x:c r="O97" s="2"/>
      <x:c r="P97" s="2"/>
      <x:c r="Q97" s="2"/>
    </x:row>
    <x:row r="98" ht="22" customHeight="1">
      <x:c r="A98" s="2"/>
      <x:c r="B98" s="2"/>
      <x:c r="C98" s="2"/>
      <x:c r="D98" s="3"/>
      <x:c r="E98" s="3"/>
      <x:c r="F98" s="3"/>
      <x:c r="G98" s="3"/>
      <x:c r="H98" s="3"/>
      <x:c r="I98" s="3"/>
      <x:c r="J98" s="2"/>
      <x:c r="K98" s="2"/>
      <x:c r="L98" s="2"/>
      <x:c r="M98" s="2"/>
      <x:c r="N98" s="2"/>
      <x:c r="O98" s="2"/>
      <x:c r="P98" s="2"/>
      <x:c r="Q98" s="2"/>
    </x:row>
    <x:row r="99" ht="22" customHeight="1">
      <x:c r="A99" s="2"/>
      <x:c r="B99" s="2"/>
      <x:c r="C99" s="2"/>
      <x:c r="D99" s="3"/>
      <x:c r="E99" s="3"/>
      <x:c r="F99" s="3"/>
      <x:c r="G99" s="3"/>
      <x:c r="H99" s="3"/>
      <x:c r="I99" s="3"/>
      <x:c r="J99" s="2"/>
      <x:c r="K99" s="2"/>
      <x:c r="L99" s="2"/>
      <x:c r="M99" s="2"/>
      <x:c r="N99" s="2"/>
      <x:c r="O99" s="2"/>
      <x:c r="P99" s="2"/>
      <x:c r="Q99" s="2"/>
    </x:row>
    <x:row r="100" ht="22" customHeight="1">
      <x:c r="A100" s="2"/>
      <x:c r="B100" s="2"/>
      <x:c r="C100" s="2"/>
      <x:c r="D100" s="3"/>
      <x:c r="E100" s="3"/>
      <x:c r="F100" s="3"/>
      <x:c r="G100" s="3"/>
      <x:c r="H100" s="3"/>
      <x:c r="I100" s="3"/>
      <x:c r="J100" s="2"/>
      <x:c r="K100" s="2"/>
      <x:c r="L100" s="2"/>
      <x:c r="M100" s="2"/>
      <x:c r="N100" s="2"/>
      <x:c r="O100" s="2"/>
      <x:c r="P100" s="2"/>
      <x:c r="Q100" s="2"/>
    </x:row>
    <x:row r="101" ht="22" customHeight="1">
      <x:c r="A101" s="2"/>
      <x:c r="B101" s="2"/>
      <x:c r="C101" s="2"/>
      <x:c r="D101" s="3"/>
      <x:c r="E101" s="3"/>
      <x:c r="F101" s="3"/>
      <x:c r="G101" s="3"/>
      <x:c r="H101" s="3"/>
      <x:c r="I101" s="3"/>
      <x:c r="J101" s="2"/>
      <x:c r="K101" s="2"/>
      <x:c r="L101" s="2"/>
      <x:c r="M101" s="2"/>
      <x:c r="N101" s="2"/>
      <x:c r="O101" s="2"/>
      <x:c r="P101" s="2"/>
      <x:c r="Q101" s="2"/>
    </x:row>
    <x:row r="102" ht="22" customHeight="1">
      <x:c r="A102" s="2"/>
      <x:c r="B102" s="2"/>
      <x:c r="C102" s="2"/>
      <x:c r="D102" s="3"/>
      <x:c r="E102" s="3"/>
      <x:c r="F102" s="3"/>
      <x:c r="G102" s="3"/>
      <x:c r="H102" s="3"/>
      <x:c r="I102" s="3"/>
      <x:c r="J102" s="2"/>
      <x:c r="K102" s="2"/>
      <x:c r="L102" s="2"/>
      <x:c r="M102" s="2"/>
      <x:c r="N102" s="2"/>
      <x:c r="O102" s="2"/>
      <x:c r="P102" s="2"/>
      <x:c r="Q102" s="2"/>
    </x:row>
    <x:row r="103" ht="22" customHeight="1">
      <x:c r="A103" s="2"/>
      <x:c r="B103" s="2"/>
      <x:c r="C103" s="2"/>
      <x:c r="D103" s="3"/>
      <x:c r="E103" s="3"/>
      <x:c r="F103" s="3"/>
      <x:c r="G103" s="3"/>
      <x:c r="H103" s="3"/>
      <x:c r="I103" s="3"/>
      <x:c r="J103" s="2"/>
      <x:c r="K103" s="2"/>
      <x:c r="L103" s="2"/>
      <x:c r="M103" s="2"/>
      <x:c r="N103" s="2"/>
      <x:c r="O103" s="2"/>
      <x:c r="P103" s="2"/>
      <x:c r="Q103" s="2"/>
    </x:row>
    <x:row r="104" ht="22" customHeight="1">
      <x:c r="A104" s="2"/>
      <x:c r="B104" s="2"/>
      <x:c r="C104" s="2"/>
      <x:c r="D104" s="3"/>
      <x:c r="E104" s="3"/>
      <x:c r="F104" s="3"/>
      <x:c r="G104" s="3"/>
      <x:c r="H104" s="3"/>
      <x:c r="I104" s="3"/>
      <x:c r="J104" s="2"/>
      <x:c r="K104" s="2"/>
      <x:c r="L104" s="2"/>
      <x:c r="M104" s="2"/>
      <x:c r="N104" s="2"/>
      <x:c r="O104" s="2"/>
      <x:c r="P104" s="2"/>
      <x:c r="Q104" s="2"/>
    </x:row>
    <x:row r="105" ht="22" customHeight="1">
      <x:c r="A105" s="2"/>
      <x:c r="B105" s="2"/>
      <x:c r="C105" s="2"/>
      <x:c r="D105" s="3"/>
      <x:c r="E105" s="3"/>
      <x:c r="F105" s="3"/>
      <x:c r="G105" s="3"/>
      <x:c r="H105" s="3"/>
      <x:c r="I105" s="3"/>
      <x:c r="J105" s="2"/>
      <x:c r="K105" s="2"/>
      <x:c r="L105" s="2"/>
      <x:c r="M105" s="2"/>
      <x:c r="N105" s="2"/>
      <x:c r="O105" s="2"/>
      <x:c r="P105" s="2"/>
      <x:c r="Q105" s="2"/>
    </x:row>
    <x:row r="106" ht="22" customHeight="1">
      <x:c r="A106" s="2"/>
      <x:c r="B106" s="2"/>
      <x:c r="C106" s="2"/>
      <x:c r="D106" s="3"/>
      <x:c r="E106" s="3"/>
      <x:c r="F106" s="3"/>
      <x:c r="G106" s="3"/>
      <x:c r="H106" s="3"/>
      <x:c r="I106" s="3"/>
      <x:c r="J106" s="2"/>
      <x:c r="K106" s="2"/>
      <x:c r="L106" s="2"/>
      <x:c r="M106" s="2"/>
      <x:c r="N106" s="2"/>
      <x:c r="O106" s="2"/>
      <x:c r="P106" s="2"/>
      <x:c r="Q106" s="2"/>
    </x:row>
    <x:row r="107" ht="22" customHeight="1">
      <x:c r="A107" s="2"/>
      <x:c r="B107" s="2"/>
      <x:c r="C107" s="2"/>
      <x:c r="D107" s="3"/>
      <x:c r="E107" s="3"/>
      <x:c r="F107" s="3"/>
      <x:c r="G107" s="3"/>
      <x:c r="H107" s="3"/>
      <x:c r="I107" s="3"/>
      <x:c r="J107" s="2"/>
      <x:c r="K107" s="2"/>
      <x:c r="L107" s="2"/>
      <x:c r="M107" s="2"/>
      <x:c r="N107" s="2"/>
      <x:c r="O107" s="2"/>
      <x:c r="P107" s="2"/>
      <x:c r="Q107" s="2"/>
    </x:row>
    <x:row r="108" ht="22" customHeight="1">
      <x:c r="A108" s="2"/>
      <x:c r="B108" s="2"/>
      <x:c r="C108" s="2"/>
      <x:c r="D108" s="3"/>
      <x:c r="E108" s="3"/>
      <x:c r="F108" s="3"/>
      <x:c r="G108" s="3"/>
      <x:c r="H108" s="3"/>
      <x:c r="I108" s="3"/>
      <x:c r="J108" s="2"/>
      <x:c r="K108" s="2"/>
      <x:c r="L108" s="2"/>
      <x:c r="M108" s="2"/>
      <x:c r="N108" s="2"/>
      <x:c r="O108" s="2"/>
      <x:c r="P108" s="2"/>
      <x:c r="Q108" s="2"/>
    </x:row>
    <x:row r="109" ht="22" customHeight="1">
      <x:c r="A109" s="2"/>
      <x:c r="B109" s="2"/>
      <x:c r="C109" s="2"/>
      <x:c r="D109" s="3"/>
      <x:c r="E109" s="3"/>
      <x:c r="F109" s="3"/>
      <x:c r="G109" s="3"/>
      <x:c r="H109" s="3"/>
      <x:c r="I109" s="3"/>
      <x:c r="J109" s="2"/>
      <x:c r="K109" s="2"/>
      <x:c r="L109" s="2"/>
      <x:c r="M109" s="2"/>
      <x:c r="N109" s="2"/>
      <x:c r="O109" s="2"/>
      <x:c r="P109" s="2"/>
      <x:c r="Q109" s="2"/>
    </x:row>
    <x:row r="110" ht="22" customHeight="1">
      <x:c r="A110" s="2"/>
      <x:c r="B110" s="2"/>
      <x:c r="C110" s="2"/>
      <x:c r="D110" s="3"/>
      <x:c r="E110" s="3"/>
      <x:c r="F110" s="3"/>
      <x:c r="G110" s="3"/>
      <x:c r="H110" s="3"/>
      <x:c r="I110" s="3"/>
      <x:c r="J110" s="2"/>
      <x:c r="K110" s="2"/>
      <x:c r="L110" s="2"/>
      <x:c r="M110" s="2"/>
      <x:c r="N110" s="2"/>
      <x:c r="O110" s="2"/>
      <x:c r="P110" s="2"/>
      <x:c r="Q110" s="2"/>
    </x:row>
    <x:row r="111" ht="22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 ht="22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 ht="22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 ht="22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 ht="22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 ht="22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 ht="22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 ht="22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 ht="22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 ht="22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3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2" customHeight="1">
      <x:c r="A2" s="2"/>
      <x:c r="B2" s="2"/>
      <x:c r="C2" s="4" t="str">
        <x:v>Comps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</x:row>
    <x:row r="3" ht="22" customHeight="1">
      <x:c r="A3" s="2"/>
      <x:c r="B3" s="2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</x:row>
    <x:row r="4" ht="22" customHeight="1">
      <x:c r="A4" s="2"/>
      <x:c r="B4" s="2"/>
      <x:c r="C4" s="2" t="str">
        <x:v>USD millions | FY2025 historical; 2026–2030 forecast</x:v>
      </x:c>
      <x:c r="D4" s="2"/>
      <x:c r="E4" s="2"/>
      <x:c r="F4" s="2"/>
      <x:c r="G4" s="2"/>
      <x:c r="H4" s="2"/>
      <x:c r="I4" s="2"/>
      <x:c r="J4" s="2"/>
      <x:c r="K4" s="2" t="str">
        <x:v>Case Selected:</x:v>
      </x:c>
      <x:c r="L4" s="8" t="str">
        <x:f>CHOOSE(Assumptions!$D$5,"Base","Upside","Downside")</x:f>
        <x:v>Base</x:v>
      </x:c>
      <x:c r="M4" s="2"/>
      <x:c r="N4" s="2"/>
      <x:c r="O4" s="2"/>
      <x:c r="P4" s="2"/>
      <x:c r="Q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2" customHeight="1">
      <x:c r="A6" s="2"/>
      <x:c r="B6" s="2"/>
      <x:c r="C6" s="13" t="str">
        <x:v>Metric</x:v>
      </x:c>
      <x:c r="D6" s="14" t="str">
        <x:v>PK</x:v>
      </x:c>
      <x:c r="E6" s="14" t="str">
        <x:v>HST</x:v>
      </x:c>
      <x:c r="F6" s="14" t="str">
        <x:v>PEB</x:v>
      </x:c>
      <x:c r="G6" s="14"/>
      <x:c r="H6" s="14"/>
      <x:c r="I6" s="14"/>
      <x:c r="J6" s="2"/>
      <x:c r="K6" s="2"/>
      <x:c r="L6" s="2"/>
      <x:c r="M6" s="2"/>
      <x:c r="N6" s="2"/>
      <x:c r="O6" s="2"/>
      <x:c r="P6" s="2"/>
      <x:c r="Q6" s="2"/>
    </x:row>
    <x:row r="7" ht="22" customHeight="1">
      <x:c r="A7" s="2"/>
      <x:c r="B7" s="2"/>
      <x:c r="C7" s="2"/>
      <x:c r="D7" s="3"/>
      <x:c r="E7" s="3"/>
      <x:c r="F7" s="3"/>
      <x:c r="G7" s="3"/>
      <x:c r="H7" s="3"/>
      <x:c r="I7" s="3"/>
      <x:c r="J7" s="2"/>
      <x:c r="K7" s="2"/>
      <x:c r="L7" s="2"/>
      <x:c r="M7" s="2"/>
      <x:c r="N7" s="2"/>
      <x:c r="O7" s="2"/>
      <x:c r="P7" s="2"/>
      <x:c r="Q7" s="2"/>
    </x:row>
    <x:row r="8" ht="22" customHeight="1">
      <x:c r="A8" s="2"/>
      <x:c r="B8" s="2"/>
      <x:c r="C8" s="2" t="str">
        <x:v>12/31/25 close ($ per share)</x:v>
      </x:c>
      <x:c r="D8" s="56" t="n">
        <x:v>10.46</x:v>
      </x:c>
      <x:c r="E8" s="56" t="n">
        <x:v>17.73</x:v>
      </x:c>
      <x:c r="F8" s="56" t="n">
        <x:v>11.32</x:v>
      </x:c>
      <x:c r="G8" s="3"/>
      <x:c r="H8" s="3"/>
      <x:c r="I8" s="3"/>
      <x:c r="J8" s="2"/>
      <x:c r="K8" s="2"/>
      <x:c r="L8" s="2"/>
      <x:c r="M8" s="2"/>
      <x:c r="N8" s="2"/>
      <x:c r="O8" s="2"/>
      <x:c r="P8" s="2"/>
      <x:c r="Q8" s="2"/>
    </x:row>
    <x:row r="9" ht="22" customHeight="1">
      <x:c r="A9" s="2"/>
      <x:c r="B9" s="2"/>
      <x:c r="C9" s="2" t="str">
        <x:v>Shares / economic units (millions)</x:v>
      </x:c>
      <x:c r="D9" s="10" t="n">
        <x:v>199.901086</x:v>
      </x:c>
      <x:c r="E9" s="10" t="n">
        <x:v>697.4</x:v>
      </x:c>
      <x:c r="F9" s="10" t="n">
        <x:v>113.188134</x:v>
      </x:c>
      <x:c r="G9" s="3"/>
      <x:c r="H9" s="3"/>
      <x:c r="I9" s="3"/>
      <x:c r="J9" s="2"/>
      <x:c r="K9" s="2"/>
      <x:c r="L9" s="2"/>
      <x:c r="M9" s="2"/>
      <x:c r="N9" s="2"/>
      <x:c r="O9" s="2"/>
      <x:c r="P9" s="2"/>
      <x:c r="Q9" s="2"/>
    </x:row>
    <x:row r="10" ht="22" customHeight="1">
      <x:c r="A10" s="2"/>
      <x:c r="B10" s="2"/>
      <x:c r="C10" s="2" t="str">
        <x:v>Net debt, issuer / disclosed basis</x:v>
      </x:c>
      <x:c r="D10" s="10" t="n">
        <x:v>3721</x:v>
      </x:c>
      <x:c r="E10" s="10" t="n">
        <x:v>4638</x:v>
      </x:c>
      <x:c r="F10" s="10" t="n">
        <x:v>1939.907</x:v>
      </x:c>
      <x:c r="G10" s="3"/>
      <x:c r="H10" s="3"/>
      <x:c r="I10" s="3"/>
      <x:c r="J10" s="2"/>
      <x:c r="K10" s="2"/>
      <x:c r="L10" s="2"/>
      <x:c r="M10" s="2"/>
      <x:c r="N10" s="2"/>
      <x:c r="O10" s="2"/>
      <x:c r="P10" s="2"/>
      <x:c r="Q10" s="2"/>
    </x:row>
    <x:row r="11" ht="22" customHeight="1">
      <x:c r="A11" s="2"/>
      <x:c r="B11" s="2"/>
      <x:c r="C11" s="2" t="str">
        <x:v>Preferred liquidation value</x:v>
      </x:c>
      <x:c r="D11" s="10" t="n">
        <x:v>0</x:v>
      </x:c>
      <x:c r="E11" s="10" t="n">
        <x:v>0</x:v>
      </x:c>
      <x:c r="F11" s="10" t="n">
        <x:v>676.724</x:v>
      </x:c>
      <x:c r="G11" s="3"/>
      <x:c r="H11" s="3"/>
      <x:c r="I11" s="3"/>
      <x:c r="J11" s="2"/>
      <x:c r="K11" s="2"/>
      <x:c r="L11" s="2"/>
      <x:c r="M11" s="2"/>
      <x:c r="N11" s="2"/>
      <x:c r="O11" s="2"/>
      <x:c r="P11" s="2"/>
      <x:c r="Q11" s="2"/>
    </x:row>
    <x:row r="12" ht="22" customHeight="1">
      <x:c r="A12" s="2"/>
      <x:c r="B12" s="2"/>
      <x:c r="C12" s="2" t="str">
        <x:v>Noncontrolling interest proxy</x:v>
      </x:c>
      <x:c r="D12" s="10" t="n">
        <x:v>0</x:v>
      </x:c>
      <x:c r="E12" s="10" t="n">
        <x:v>0</x:v>
      </x:c>
      <x:c r="F12" s="10" t="n">
        <x:v>94.117</x:v>
      </x:c>
      <x:c r="G12" s="3"/>
      <x:c r="H12" s="3"/>
      <x:c r="I12" s="3"/>
      <x:c r="J12" s="2"/>
      <x:c r="K12" s="2"/>
      <x:c r="L12" s="2"/>
      <x:c r="M12" s="2"/>
      <x:c r="N12" s="2"/>
      <x:c r="O12" s="2"/>
      <x:c r="P12" s="2"/>
      <x:c r="Q12" s="2"/>
    </x:row>
    <x:row r="13" ht="22" customHeight="1">
      <x:c r="A13" s="2"/>
      <x:c r="B13" s="2"/>
      <x:c r="C13" s="2" t="str">
        <x:v>Enterprise value proxy</x:v>
      </x:c>
      <x:c r="D13" s="27" t="n">
        <x:f>D8*D9+SUM(D10:D12)</x:f>
        <x:v>5811.96535956</x:v>
      </x:c>
      <x:c r="E13" s="27" t="n">
        <x:f>E8*E9+SUM(E10:E12)</x:f>
        <x:v>17002.902000000002</x:v>
      </x:c>
      <x:c r="F13" s="27" t="n">
        <x:f>F8*F9+SUM(F10:F12)</x:f>
        <x:v>3992.03767688</x:v>
      </x:c>
      <x:c r="G13" s="3"/>
      <x:c r="H13" s="3"/>
      <x:c r="I13" s="3"/>
      <x:c r="J13" s="2"/>
      <x:c r="K13" s="2"/>
      <x:c r="L13" s="2"/>
      <x:c r="M13" s="2"/>
      <x:c r="N13" s="2"/>
      <x:c r="O13" s="2"/>
      <x:c r="P13" s="2"/>
      <x:c r="Q13" s="2"/>
    </x:row>
    <x:row r="14" ht="22" customHeight="1">
      <x:c r="A14" s="2"/>
      <x:c r="B14" s="2"/>
      <x:c r="C14" s="2" t="str">
        <x:v>2025 adjusted EBITDA / EBITDAre</x:v>
      </x:c>
      <x:c r="D14" s="10" t="n">
        <x:v>609</x:v>
      </x:c>
      <x:c r="E14" s="10" t="n">
        <x:v>1757</x:v>
      </x:c>
      <x:c r="F14" s="10" t="n">
        <x:v>342.5</x:v>
      </x:c>
      <x:c r="G14" s="3"/>
      <x:c r="H14" s="3"/>
      <x:c r="I14" s="3"/>
      <x:c r="J14" s="2"/>
      <x:c r="K14" s="2"/>
      <x:c r="L14" s="2"/>
      <x:c r="M14" s="2"/>
      <x:c r="N14" s="2"/>
      <x:c r="O14" s="2"/>
      <x:c r="P14" s="2"/>
      <x:c r="Q14" s="2"/>
    </x:row>
    <x:row r="15" ht="22" customHeight="1">
      <x:c r="A15" s="2"/>
      <x:c r="B15" s="2"/>
      <x:c r="C15" s="2" t="str">
        <x:v>2025 adjusted FFO per share</x:v>
      </x:c>
      <x:c r="D15" s="56" t="n">
        <x:v>1.97</x:v>
      </x:c>
      <x:c r="E15" s="56" t="n">
        <x:v>2.07</x:v>
      </x:c>
      <x:c r="F15" s="56" t="n">
        <x:v>1.58</x:v>
      </x:c>
      <x:c r="G15" s="3"/>
      <x:c r="H15" s="3"/>
      <x:c r="I15" s="3"/>
      <x:c r="J15" s="2"/>
      <x:c r="K15" s="2"/>
      <x:c r="L15" s="2"/>
      <x:c r="M15" s="2"/>
      <x:c r="N15" s="2"/>
      <x:c r="O15" s="2"/>
      <x:c r="P15" s="2"/>
      <x:c r="Q15" s="2"/>
    </x:row>
    <x:row r="16" ht="22" customHeight="1">
      <x:c r="A16" s="2"/>
      <x:c r="B16" s="2"/>
      <x:c r="C16" s="2"/>
      <x:c r="D16" s="3"/>
      <x:c r="E16" s="3"/>
      <x:c r="F16" s="3"/>
      <x:c r="G16" s="3"/>
      <x:c r="H16" s="3"/>
      <x:c r="I16" s="3"/>
      <x:c r="J16" s="2"/>
      <x:c r="K16" s="2"/>
      <x:c r="L16" s="2"/>
      <x:c r="M16" s="2"/>
      <x:c r="N16" s="2"/>
      <x:c r="O16" s="2"/>
      <x:c r="P16" s="2"/>
      <x:c r="Q16" s="2"/>
    </x:row>
    <x:row r="17" ht="22" customHeight="1">
      <x:c r="A17" s="2"/>
      <x:c r="B17" s="2"/>
      <x:c r="C17" s="2" t="str">
        <x:v>EV / EBITDA</x:v>
      </x:c>
      <x:c r="D17" s="41" t="n">
        <x:f>D13/D14</x:f>
        <x:v>9.543457076453203</x:v>
      </x:c>
      <x:c r="E17" s="41" t="n">
        <x:f>E13/E14</x:f>
        <x:v>9.677235059760957</x:v>
      </x:c>
      <x:c r="F17" s="41" t="n">
        <x:f>F13/F14</x:f>
        <x:v>11.655584458043796</x:v>
      </x:c>
      <x:c r="G17" s="3"/>
      <x:c r="H17" s="3"/>
      <x:c r="I17" s="3"/>
      <x:c r="J17" s="2"/>
      <x:c r="K17" s="2"/>
      <x:c r="L17" s="2"/>
      <x:c r="M17" s="2"/>
      <x:c r="N17" s="2"/>
      <x:c r="O17" s="2"/>
      <x:c r="P17" s="2"/>
      <x:c r="Q17" s="2"/>
    </x:row>
    <x:row r="18" ht="22" customHeight="1">
      <x:c r="A18" s="2"/>
      <x:c r="B18" s="2"/>
      <x:c r="C18" s="2" t="str">
        <x:v>Price / adjusted FFO</x:v>
      </x:c>
      <x:c r="D18" s="41" t="n">
        <x:f>D8/D15</x:f>
        <x:v>5.309644670050762</x:v>
      </x:c>
      <x:c r="E18" s="41" t="n">
        <x:f>E8/E15</x:f>
        <x:v>8.56521739130435</x:v>
      </x:c>
      <x:c r="F18" s="41" t="n">
        <x:f>F8/F15</x:f>
        <x:v>7.1645569620253164</x:v>
      </x:c>
      <x:c r="G18" s="3"/>
      <x:c r="H18" s="3"/>
      <x:c r="I18" s="3"/>
      <x:c r="J18" s="2"/>
      <x:c r="K18" s="2"/>
      <x:c r="L18" s="2"/>
      <x:c r="M18" s="2"/>
      <x:c r="N18" s="2"/>
      <x:c r="O18" s="2"/>
      <x:c r="P18" s="2"/>
      <x:c r="Q18" s="2"/>
    </x:row>
    <x:row r="19" ht="22" customHeight="1">
      <x:c r="A19" s="2"/>
      <x:c r="B19" s="2"/>
      <x:c r="C19" s="2"/>
      <x:c r="D19" s="3"/>
      <x:c r="E19" s="3"/>
      <x:c r="F19" s="3"/>
      <x:c r="G19" s="3"/>
      <x:c r="H19" s="3"/>
      <x:c r="I19" s="3"/>
      <x:c r="J19" s="2"/>
      <x:c r="K19" s="2"/>
      <x:c r="L19" s="2"/>
      <x:c r="M19" s="2"/>
      <x:c r="N19" s="2"/>
      <x:c r="O19" s="2"/>
      <x:c r="P19" s="2"/>
      <x:c r="Q19" s="2"/>
    </x:row>
    <x:row r="20" ht="22" customHeight="1">
      <x:c r="A20" s="2"/>
      <x:c r="B20" s="2"/>
      <x:c r="C20" s="2" t="str">
        <x:v>Peer median EV / EBITDA (HST and PEB)</x:v>
      </x:c>
      <x:c r="D20" s="41" t="n">
        <x:f>MEDIAN(E17:F17)</x:f>
        <x:v>10.666409758902375</x:v>
      </x:c>
      <x:c r="E20" s="3"/>
      <x:c r="F20" s="3"/>
      <x:c r="G20" s="3"/>
      <x:c r="H20" s="3"/>
      <x:c r="I20" s="3"/>
      <x:c r="J20" s="2"/>
      <x:c r="K20" s="2"/>
      <x:c r="L20" s="2"/>
      <x:c r="M20" s="2"/>
      <x:c r="N20" s="2"/>
      <x:c r="O20" s="2"/>
      <x:c r="P20" s="2"/>
      <x:c r="Q20" s="2"/>
    </x:row>
    <x:row r="21" ht="22" customHeight="1">
      <x:c r="A21" s="2"/>
      <x:c r="B21" s="2"/>
      <x:c r="C21" s="2" t="str">
        <x:v>Implied PK equity value per share</x:v>
      </x:c>
      <x:c r="D21" s="57" t="n">
        <x:f>(D20*D14-D10-D11-D12)/D9</x:f>
        <x:v>13.881082883019191</x:v>
      </x:c>
      <x:c r="E21" s="3"/>
      <x:c r="F21" s="3"/>
      <x:c r="G21" s="3"/>
      <x:c r="H21" s="3"/>
      <x:c r="I21" s="3"/>
      <x:c r="J21" s="2"/>
      <x:c r="K21" s="2"/>
      <x:c r="L21" s="2"/>
      <x:c r="M21" s="2"/>
      <x:c r="N21" s="2"/>
      <x:c r="O21" s="2"/>
      <x:c r="P21" s="2"/>
      <x:c r="Q21" s="2"/>
    </x:row>
    <x:row r="22" ht="22" customHeight="1">
      <x:c r="A22" s="2"/>
      <x:c r="B22" s="2"/>
      <x:c r="C22" s="2"/>
      <x:c r="D22" s="3"/>
      <x:c r="E22" s="3"/>
      <x:c r="F22" s="3"/>
      <x:c r="G22" s="3"/>
      <x:c r="H22" s="3"/>
      <x:c r="I22" s="3"/>
      <x:c r="J22" s="2"/>
      <x:c r="K22" s="2"/>
      <x:c r="L22" s="2"/>
      <x:c r="M22" s="2"/>
      <x:c r="N22" s="2"/>
      <x:c r="O22" s="2"/>
      <x:c r="P22" s="2"/>
      <x:c r="Q22" s="2"/>
    </x:row>
    <x:row r="23" ht="22" customHeight="1">
      <x:c r="A23" s="2"/>
      <x:c r="B23" s="2"/>
      <x:c r="C23" s="2" t="str">
        <x:v>PK: Issuer pro rata net debt including JV debt and restricted cash; NCI immaterial book deficit excluded</x:v>
      </x:c>
      <x:c r="D23" s="3"/>
      <x:c r="E23" s="3"/>
      <x:c r="F23" s="3"/>
      <x:c r="G23" s="3"/>
      <x:c r="H23" s="3"/>
      <x:c r="I23" s="3"/>
      <x:c r="J23" s="2"/>
      <x:c r="K23" s="2"/>
      <x:c r="L23" s="2"/>
      <x:c r="M23" s="2"/>
      <x:c r="N23" s="2"/>
      <x:c r="O23" s="2"/>
      <x:c r="P23" s="2"/>
      <x:c r="Q23" s="2"/>
    </x:row>
    <x:row r="24" ht="22" customHeight="1">
      <x:c r="A24" s="2"/>
      <x:c r="B24" s="2"/>
      <x:c r="C24" s="2" t="str">
        <x:v>Source IDs: PKER;PK10K;PKPRICE</x:v>
      </x:c>
      <x:c r="D24" s="3"/>
      <x:c r="E24" s="3"/>
      <x:c r="F24" s="3"/>
      <x:c r="G24" s="3"/>
      <x:c r="H24" s="3"/>
      <x:c r="I24" s="3"/>
      <x:c r="J24" s="2"/>
      <x:c r="K24" s="2"/>
      <x:c r="L24" s="2"/>
      <x:c r="M24" s="2"/>
      <x:c r="N24" s="2"/>
      <x:c r="O24" s="2"/>
      <x:c r="P24" s="2"/>
      <x:c r="Q24" s="2"/>
    </x:row>
    <x:row r="25" ht="22" customHeight="1">
      <x:c r="A25" s="2"/>
      <x:c r="B25" s="2"/>
      <x:c r="C25" s="2" t="str">
        <x:v>HST: Common shares including OP units; net debt includes $329m share of JV debt</x:v>
      </x:c>
      <x:c r="D25" s="3"/>
      <x:c r="E25" s="3"/>
      <x:c r="F25" s="3"/>
      <x:c r="G25" s="3"/>
      <x:c r="H25" s="3"/>
      <x:c r="I25" s="3"/>
      <x:c r="J25" s="2"/>
      <x:c r="K25" s="2"/>
      <x:c r="L25" s="2"/>
      <x:c r="M25" s="2"/>
      <x:c r="N25" s="2"/>
      <x:c r="O25" s="2"/>
      <x:c r="P25" s="2"/>
      <x:c r="Q25" s="2"/>
    </x:row>
    <x:row r="26" ht="22" customHeight="1">
      <x:c r="A26" s="2"/>
      <x:c r="B26" s="2"/>
      <x:c r="C26" s="2" t="str">
        <x:v>Source IDs: HSTSUP;HSTER</x:v>
      </x:c>
      <x:c r="D26" s="3"/>
      <x:c r="E26" s="3"/>
      <x:c r="F26" s="3"/>
      <x:c r="G26" s="3"/>
      <x:c r="H26" s="3"/>
      <x:c r="I26" s="3"/>
      <x:c r="J26" s="2"/>
      <x:c r="K26" s="2"/>
      <x:c r="L26" s="2"/>
      <x:c r="M26" s="2"/>
      <x:c r="N26" s="2"/>
      <x:c r="O26" s="2"/>
      <x:c r="P26" s="2"/>
      <x:c r="Q26" s="2"/>
    </x:row>
    <x:row r="27" ht="22" customHeight="1">
      <x:c r="A27" s="2"/>
      <x:c r="B27" s="2"/>
      <x:c r="C27" s="2" t="str">
        <x:v>PEB: Book debt less unrestricted cash; preferred at liquidation value; NCI at book proxy, not market value</x:v>
      </x:c>
      <x:c r="D27" s="3"/>
      <x:c r="E27" s="3"/>
      <x:c r="F27" s="3"/>
      <x:c r="G27" s="3"/>
      <x:c r="H27" s="3"/>
      <x:c r="I27" s="3"/>
      <x:c r="J27" s="2"/>
      <x:c r="K27" s="2"/>
      <x:c r="L27" s="2"/>
      <x:c r="M27" s="2"/>
      <x:c r="N27" s="2"/>
      <x:c r="O27" s="2"/>
      <x:c r="P27" s="2"/>
      <x:c r="Q27" s="2"/>
    </x:row>
    <x:row r="28" ht="22" customHeight="1">
      <x:c r="A28" s="2"/>
      <x:c r="B28" s="2"/>
      <x:c r="C28" s="2" t="str">
        <x:v>Source IDs: PEBER;PEBPRICE</x:v>
      </x:c>
      <x:c r="D28" s="3"/>
      <x:c r="E28" s="3"/>
      <x:c r="F28" s="3"/>
      <x:c r="G28" s="3"/>
      <x:c r="H28" s="3"/>
      <x:c r="I28" s="3"/>
      <x:c r="J28" s="2"/>
      <x:c r="K28" s="2"/>
      <x:c r="L28" s="2"/>
      <x:c r="M28" s="2"/>
      <x:c r="N28" s="2"/>
      <x:c r="O28" s="2"/>
      <x:c r="P28" s="2"/>
      <x:c r="Q28" s="2"/>
    </x:row>
    <x:row r="29" ht="22" customHeight="1">
      <x:c r="A29" s="2"/>
      <x:c r="B29" s="2"/>
      <x:c r="C29" s="2"/>
      <x:c r="D29" s="3"/>
      <x:c r="E29" s="3"/>
      <x:c r="F29" s="3"/>
      <x:c r="G29" s="3"/>
      <x:c r="H29" s="3"/>
      <x:c r="I29" s="3"/>
      <x:c r="J29" s="2"/>
      <x:c r="K29" s="2"/>
      <x:c r="L29" s="2"/>
      <x:c r="M29" s="2"/>
      <x:c r="N29" s="2"/>
      <x:c r="O29" s="2"/>
      <x:c r="P29" s="2"/>
      <x:c r="Q29" s="2"/>
    </x:row>
    <x:row r="30" ht="22" customHeight="1">
      <x:c r="A30" s="2"/>
      <x:c r="B30" s="2"/>
      <x:c r="C30" s="19" t="str">
        <x:v>Retrospective year-end screen using subsequently released FY2025 results; not a point-in-time backtest.</x:v>
      </x:c>
      <x:c r="D30" s="20"/>
      <x:c r="E30" s="20"/>
      <x:c r="F30" s="20"/>
      <x:c r="G30" s="20"/>
      <x:c r="H30" s="20"/>
      <x:c r="I30" s="20"/>
      <x:c r="J30" s="19"/>
      <x:c r="K30" s="19"/>
      <x:c r="L30" s="19"/>
      <x:c r="M30" s="19"/>
      <x:c r="N30" s="2"/>
      <x:c r="O30" s="2"/>
      <x:c r="P30" s="2"/>
      <x:c r="Q30" s="2"/>
    </x:row>
    <x:row r="31" ht="22" customHeight="1">
      <x:c r="A31" s="2"/>
      <x:c r="B31" s="2"/>
      <x:c r="C31" s="2"/>
      <x:c r="D31" s="3"/>
      <x:c r="E31" s="3"/>
      <x:c r="F31" s="3"/>
      <x:c r="G31" s="3"/>
      <x:c r="H31" s="3"/>
      <x:c r="I31" s="3"/>
      <x:c r="J31" s="2"/>
      <x:c r="K31" s="2"/>
      <x:c r="L31" s="2"/>
      <x:c r="M31" s="2"/>
      <x:c r="N31" s="2"/>
      <x:c r="O31" s="2"/>
      <x:c r="P31" s="2"/>
      <x:c r="Q31" s="2"/>
    </x:row>
    <x:row r="32" ht="22" customHeight="1">
      <x:c r="A32" s="2"/>
      <x:c r="B32" s="2"/>
      <x:c r="C32" s="19" t="str">
        <x:v>Small peer set and differing JV/NCI/non-GAAP definitions make the multiples directional.</x:v>
      </x:c>
      <x:c r="D32" s="20"/>
      <x:c r="E32" s="20"/>
      <x:c r="F32" s="20"/>
      <x:c r="G32" s="20"/>
      <x:c r="H32" s="20"/>
      <x:c r="I32" s="20"/>
      <x:c r="J32" s="19"/>
      <x:c r="K32" s="19"/>
      <x:c r="L32" s="19"/>
      <x:c r="M32" s="19"/>
      <x:c r="N32" s="2"/>
      <x:c r="O32" s="2"/>
      <x:c r="P32" s="2"/>
      <x:c r="Q32" s="2"/>
    </x:row>
    <x:row r="33" ht="22" customHeight="1">
      <x:c r="A33" s="2"/>
      <x:c r="B33" s="2"/>
      <x:c r="C33" s="2"/>
      <x:c r="D33" s="3"/>
      <x:c r="E33" s="3"/>
      <x:c r="F33" s="3"/>
      <x:c r="G33" s="3"/>
      <x:c r="H33" s="3"/>
      <x:c r="I33" s="3"/>
      <x:c r="J33" s="2"/>
      <x:c r="K33" s="2"/>
      <x:c r="L33" s="2"/>
      <x:c r="M33" s="2"/>
      <x:c r="N33" s="2"/>
      <x:c r="O33" s="2"/>
      <x:c r="P33" s="2"/>
      <x:c r="Q33" s="2"/>
    </x:row>
    <x:row r="34" ht="22" customHeight="1">
      <x:c r="A34" s="2"/>
      <x:c r="B34" s="2"/>
      <x:c r="C34" s="2"/>
      <x:c r="D34" s="3"/>
      <x:c r="E34" s="3"/>
      <x:c r="F34" s="3"/>
      <x:c r="G34" s="3"/>
      <x:c r="H34" s="3"/>
      <x:c r="I34" s="3"/>
      <x:c r="J34" s="2"/>
      <x:c r="K34" s="2"/>
      <x:c r="L34" s="2"/>
      <x:c r="M34" s="2"/>
      <x:c r="N34" s="2"/>
      <x:c r="O34" s="2"/>
      <x:c r="P34" s="2"/>
      <x:c r="Q34" s="2"/>
    </x:row>
    <x:row r="35" ht="22" customHeight="1">
      <x:c r="A35" s="2"/>
      <x:c r="B35" s="2"/>
      <x:c r="C35" s="2"/>
      <x:c r="D35" s="3"/>
      <x:c r="E35" s="3"/>
      <x:c r="F35" s="3"/>
      <x:c r="G35" s="3"/>
      <x:c r="H35" s="3"/>
      <x:c r="I35" s="3"/>
      <x:c r="J35" s="2"/>
      <x:c r="K35" s="2"/>
      <x:c r="L35" s="2"/>
      <x:c r="M35" s="2"/>
      <x:c r="N35" s="2"/>
      <x:c r="O35" s="2"/>
      <x:c r="P35" s="2"/>
      <x:c r="Q35" s="2"/>
    </x:row>
    <x:row r="36" ht="22" customHeight="1">
      <x:c r="A36" s="2"/>
      <x:c r="B36" s="2"/>
      <x:c r="C36" s="2"/>
      <x:c r="D36" s="3"/>
      <x:c r="E36" s="3"/>
      <x:c r="F36" s="3"/>
      <x:c r="G36" s="3"/>
      <x:c r="H36" s="3"/>
      <x:c r="I36" s="3"/>
      <x:c r="J36" s="2"/>
      <x:c r="K36" s="2"/>
      <x:c r="L36" s="2"/>
      <x:c r="M36" s="2"/>
      <x:c r="N36" s="2"/>
      <x:c r="O36" s="2"/>
      <x:c r="P36" s="2"/>
      <x:c r="Q36" s="2"/>
    </x:row>
    <x:row r="37" ht="22" customHeight="1">
      <x:c r="A37" s="2"/>
      <x:c r="B37" s="2"/>
      <x:c r="C37" s="2"/>
      <x:c r="D37" s="3"/>
      <x:c r="E37" s="3"/>
      <x:c r="F37" s="3"/>
      <x:c r="G37" s="3"/>
      <x:c r="H37" s="3"/>
      <x:c r="I37" s="3"/>
      <x:c r="J37" s="2"/>
      <x:c r="K37" s="2"/>
      <x:c r="L37" s="2"/>
      <x:c r="M37" s="2"/>
      <x:c r="N37" s="2"/>
      <x:c r="O37" s="2"/>
      <x:c r="P37" s="2"/>
      <x:c r="Q37" s="2"/>
    </x:row>
    <x:row r="38" ht="22" customHeight="1">
      <x:c r="A38" s="2"/>
      <x:c r="B38" s="2"/>
      <x:c r="C38" s="2"/>
      <x:c r="D38" s="3"/>
      <x:c r="E38" s="3"/>
      <x:c r="F38" s="3"/>
      <x:c r="G38" s="3"/>
      <x:c r="H38" s="3"/>
      <x:c r="I38" s="3"/>
      <x:c r="J38" s="2"/>
      <x:c r="K38" s="2"/>
      <x:c r="L38" s="2"/>
      <x:c r="M38" s="2"/>
      <x:c r="N38" s="2"/>
      <x:c r="O38" s="2"/>
      <x:c r="P38" s="2"/>
      <x:c r="Q38" s="2"/>
    </x:row>
    <x:row r="39" ht="22" customHeight="1">
      <x:c r="A39" s="2"/>
      <x:c r="B39" s="2"/>
      <x:c r="C39" s="2"/>
      <x:c r="D39" s="3"/>
      <x:c r="E39" s="3"/>
      <x:c r="F39" s="3"/>
      <x:c r="G39" s="3"/>
      <x:c r="H39" s="3"/>
      <x:c r="I39" s="3"/>
      <x:c r="J39" s="2"/>
      <x:c r="K39" s="2"/>
      <x:c r="L39" s="2"/>
      <x:c r="M39" s="2"/>
      <x:c r="N39" s="2"/>
      <x:c r="O39" s="2"/>
      <x:c r="P39" s="2"/>
      <x:c r="Q39" s="2"/>
    </x:row>
    <x:row r="40" ht="22" customHeight="1">
      <x:c r="A40" s="2"/>
      <x:c r="B40" s="2"/>
      <x:c r="C40" s="2"/>
      <x:c r="D40" s="3"/>
      <x:c r="E40" s="3"/>
      <x:c r="F40" s="3"/>
      <x:c r="G40" s="3"/>
      <x:c r="H40" s="3"/>
      <x:c r="I40" s="3"/>
      <x:c r="J40" s="2"/>
      <x:c r="K40" s="2"/>
      <x:c r="L40" s="2"/>
      <x:c r="M40" s="2"/>
      <x:c r="N40" s="2"/>
      <x:c r="O40" s="2"/>
      <x:c r="P40" s="2"/>
      <x:c r="Q40" s="2"/>
    </x:row>
    <x:row r="41" ht="22" customHeight="1">
      <x:c r="A41" s="2"/>
      <x:c r="B41" s="2"/>
      <x:c r="C41" s="2"/>
      <x:c r="D41" s="3"/>
      <x:c r="E41" s="3"/>
      <x:c r="F41" s="3"/>
      <x:c r="G41" s="3"/>
      <x:c r="H41" s="3"/>
      <x:c r="I41" s="3"/>
      <x:c r="J41" s="2"/>
      <x:c r="K41" s="2"/>
      <x:c r="L41" s="2"/>
      <x:c r="M41" s="2"/>
      <x:c r="N41" s="2"/>
      <x:c r="O41" s="2"/>
      <x:c r="P41" s="2"/>
      <x:c r="Q41" s="2"/>
    </x:row>
    <x:row r="42" ht="22" customHeight="1">
      <x:c r="A42" s="2"/>
      <x:c r="B42" s="2"/>
      <x:c r="C42" s="2"/>
      <x:c r="D42" s="3"/>
      <x:c r="E42" s="3"/>
      <x:c r="F42" s="3"/>
      <x:c r="G42" s="3"/>
      <x:c r="H42" s="3"/>
      <x:c r="I42" s="3"/>
      <x:c r="J42" s="2"/>
      <x:c r="K42" s="2"/>
      <x:c r="L42" s="2"/>
      <x:c r="M42" s="2"/>
      <x:c r="N42" s="2"/>
      <x:c r="O42" s="2"/>
      <x:c r="P42" s="2"/>
      <x:c r="Q42" s="2"/>
    </x:row>
    <x:row r="43" ht="22" customHeight="1">
      <x:c r="A43" s="2"/>
      <x:c r="B43" s="2"/>
      <x:c r="C43" s="2"/>
      <x:c r="D43" s="3"/>
      <x:c r="E43" s="3"/>
      <x:c r="F43" s="3"/>
      <x:c r="G43" s="3"/>
      <x:c r="H43" s="3"/>
      <x:c r="I43" s="3"/>
      <x:c r="J43" s="2"/>
      <x:c r="K43" s="2"/>
      <x:c r="L43" s="2"/>
      <x:c r="M43" s="2"/>
      <x:c r="N43" s="2"/>
      <x:c r="O43" s="2"/>
      <x:c r="P43" s="2"/>
      <x:c r="Q43" s="2"/>
    </x:row>
    <x:row r="44" ht="22" customHeight="1">
      <x:c r="A44" s="2"/>
      <x:c r="B44" s="2"/>
      <x:c r="C44" s="2"/>
      <x:c r="D44" s="3"/>
      <x:c r="E44" s="3"/>
      <x:c r="F44" s="3"/>
      <x:c r="G44" s="3"/>
      <x:c r="H44" s="3"/>
      <x:c r="I44" s="3"/>
      <x:c r="J44" s="2"/>
      <x:c r="K44" s="2"/>
      <x:c r="L44" s="2"/>
      <x:c r="M44" s="2"/>
      <x:c r="N44" s="2"/>
      <x:c r="O44" s="2"/>
      <x:c r="P44" s="2"/>
      <x:c r="Q44" s="2"/>
    </x:row>
    <x:row r="45" ht="22" customHeight="1">
      <x:c r="A45" s="2"/>
      <x:c r="B45" s="2"/>
      <x:c r="C45" s="2"/>
      <x:c r="D45" s="3"/>
      <x:c r="E45" s="3"/>
      <x:c r="F45" s="3"/>
      <x:c r="G45" s="3"/>
      <x:c r="H45" s="3"/>
      <x:c r="I45" s="3"/>
      <x:c r="J45" s="2"/>
      <x:c r="K45" s="2"/>
      <x:c r="L45" s="2"/>
      <x:c r="M45" s="2"/>
      <x:c r="N45" s="2"/>
      <x:c r="O45" s="2"/>
      <x:c r="P45" s="2"/>
      <x:c r="Q45" s="2"/>
    </x:row>
    <x:row r="46" ht="22" customHeight="1">
      <x:c r="A46" s="2"/>
      <x:c r="B46" s="2"/>
      <x:c r="C46" s="2"/>
      <x:c r="D46" s="3"/>
      <x:c r="E46" s="3"/>
      <x:c r="F46" s="3"/>
      <x:c r="G46" s="3"/>
      <x:c r="H46" s="3"/>
      <x:c r="I46" s="3"/>
      <x:c r="J46" s="2"/>
      <x:c r="K46" s="2"/>
      <x:c r="L46" s="2"/>
      <x:c r="M46" s="2"/>
      <x:c r="N46" s="2"/>
      <x:c r="O46" s="2"/>
      <x:c r="P46" s="2"/>
      <x:c r="Q46" s="2"/>
    </x:row>
    <x:row r="47" ht="22" customHeight="1">
      <x:c r="A47" s="2"/>
      <x:c r="B47" s="2"/>
      <x:c r="C47" s="2"/>
      <x:c r="D47" s="3"/>
      <x:c r="E47" s="3"/>
      <x:c r="F47" s="3"/>
      <x:c r="G47" s="3"/>
      <x:c r="H47" s="3"/>
      <x:c r="I47" s="3"/>
      <x:c r="J47" s="2"/>
      <x:c r="K47" s="2"/>
      <x:c r="L47" s="2"/>
      <x:c r="M47" s="2"/>
      <x:c r="N47" s="2"/>
      <x:c r="O47" s="2"/>
      <x:c r="P47" s="2"/>
      <x:c r="Q47" s="2"/>
    </x:row>
    <x:row r="48" ht="22" customHeight="1">
      <x:c r="A48" s="2"/>
      <x:c r="B48" s="2"/>
      <x:c r="C48" s="2"/>
      <x:c r="D48" s="3"/>
      <x:c r="E48" s="3"/>
      <x:c r="F48" s="3"/>
      <x:c r="G48" s="3"/>
      <x:c r="H48" s="3"/>
      <x:c r="I48" s="3"/>
      <x:c r="J48" s="2"/>
      <x:c r="K48" s="2"/>
      <x:c r="L48" s="2"/>
      <x:c r="M48" s="2"/>
      <x:c r="N48" s="2"/>
      <x:c r="O48" s="2"/>
      <x:c r="P48" s="2"/>
      <x:c r="Q48" s="2"/>
    </x:row>
    <x:row r="49" ht="22" customHeight="1">
      <x:c r="A49" s="2"/>
      <x:c r="B49" s="2"/>
      <x:c r="C49" s="2"/>
      <x:c r="D49" s="3"/>
      <x:c r="E49" s="3"/>
      <x:c r="F49" s="3"/>
      <x:c r="G49" s="3"/>
      <x:c r="H49" s="3"/>
      <x:c r="I49" s="3"/>
      <x:c r="J49" s="2"/>
      <x:c r="K49" s="2"/>
      <x:c r="L49" s="2"/>
      <x:c r="M49" s="2"/>
      <x:c r="N49" s="2"/>
      <x:c r="O49" s="2"/>
      <x:c r="P49" s="2"/>
      <x:c r="Q49" s="2"/>
    </x:row>
    <x:row r="50" ht="22" customHeight="1">
      <x:c r="A50" s="2"/>
      <x:c r="B50" s="2"/>
      <x:c r="C50" s="2"/>
      <x:c r="D50" s="3"/>
      <x:c r="E50" s="3"/>
      <x:c r="F50" s="3"/>
      <x:c r="G50" s="3"/>
      <x:c r="H50" s="3"/>
      <x:c r="I50" s="3"/>
      <x:c r="J50" s="2"/>
      <x:c r="K50" s="2"/>
      <x:c r="L50" s="2"/>
      <x:c r="M50" s="2"/>
      <x:c r="N50" s="2"/>
      <x:c r="O50" s="2"/>
      <x:c r="P50" s="2"/>
      <x:c r="Q50" s="2"/>
    </x:row>
    <x:row r="51" ht="22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2"/>
      <x:c r="K51" s="2"/>
      <x:c r="L51" s="2"/>
      <x:c r="M51" s="2"/>
      <x:c r="N51" s="2"/>
      <x:c r="O51" s="2"/>
      <x:c r="P51" s="2"/>
      <x:c r="Q51" s="2"/>
    </x:row>
    <x:row r="52" ht="22" customHeight="1">
      <x:c r="A52" s="2"/>
      <x:c r="B52" s="2"/>
      <x:c r="C52" s="2"/>
      <x:c r="D52" s="3"/>
      <x:c r="E52" s="3"/>
      <x:c r="F52" s="3"/>
      <x:c r="G52" s="3"/>
      <x:c r="H52" s="3"/>
      <x:c r="I52" s="3"/>
      <x:c r="J52" s="2"/>
      <x:c r="K52" s="2"/>
      <x:c r="L52" s="2"/>
      <x:c r="M52" s="2"/>
      <x:c r="N52" s="2"/>
      <x:c r="O52" s="2"/>
      <x:c r="P52" s="2"/>
      <x:c r="Q52" s="2"/>
    </x:row>
    <x:row r="53" ht="22" customHeight="1">
      <x:c r="A53" s="2"/>
      <x:c r="B53" s="2"/>
      <x:c r="C53" s="2"/>
      <x:c r="D53" s="3"/>
      <x:c r="E53" s="3"/>
      <x:c r="F53" s="3"/>
      <x:c r="G53" s="3"/>
      <x:c r="H53" s="3"/>
      <x:c r="I53" s="3"/>
      <x:c r="J53" s="2"/>
      <x:c r="K53" s="2"/>
      <x:c r="L53" s="2"/>
      <x:c r="M53" s="2"/>
      <x:c r="N53" s="2"/>
      <x:c r="O53" s="2"/>
      <x:c r="P53" s="2"/>
      <x:c r="Q53" s="2"/>
    </x:row>
    <x:row r="54" ht="22" customHeight="1">
      <x:c r="A54" s="2"/>
      <x:c r="B54" s="2"/>
      <x:c r="C54" s="2"/>
      <x:c r="D54" s="3"/>
      <x:c r="E54" s="3"/>
      <x:c r="F54" s="3"/>
      <x:c r="G54" s="3"/>
      <x:c r="H54" s="3"/>
      <x:c r="I54" s="3"/>
      <x:c r="J54" s="2"/>
      <x:c r="K54" s="2"/>
      <x:c r="L54" s="2"/>
      <x:c r="M54" s="2"/>
      <x:c r="N54" s="2"/>
      <x:c r="O54" s="2"/>
      <x:c r="P54" s="2"/>
      <x:c r="Q54" s="2"/>
    </x:row>
    <x:row r="55" ht="22" customHeight="1">
      <x:c r="A55" s="2"/>
      <x:c r="B55" s="2"/>
      <x:c r="C55" s="2"/>
      <x:c r="D55" s="3"/>
      <x:c r="E55" s="3"/>
      <x:c r="F55" s="3"/>
      <x:c r="G55" s="3"/>
      <x:c r="H55" s="3"/>
      <x:c r="I55" s="3"/>
      <x:c r="J55" s="2"/>
      <x:c r="K55" s="2"/>
      <x:c r="L55" s="2"/>
      <x:c r="M55" s="2"/>
      <x:c r="N55" s="2"/>
      <x:c r="O55" s="2"/>
      <x:c r="P55" s="2"/>
      <x:c r="Q55" s="2"/>
    </x:row>
    <x:row r="56" ht="22" customHeight="1">
      <x:c r="A56" s="2"/>
      <x:c r="B56" s="2"/>
      <x:c r="C56" s="2"/>
      <x:c r="D56" s="3"/>
      <x:c r="E56" s="3"/>
      <x:c r="F56" s="3"/>
      <x:c r="G56" s="3"/>
      <x:c r="H56" s="3"/>
      <x:c r="I56" s="3"/>
      <x:c r="J56" s="2"/>
      <x:c r="K56" s="2"/>
      <x:c r="L56" s="2"/>
      <x:c r="M56" s="2"/>
      <x:c r="N56" s="2"/>
      <x:c r="O56" s="2"/>
      <x:c r="P56" s="2"/>
      <x:c r="Q56" s="2"/>
    </x:row>
    <x:row r="57" ht="22" customHeight="1">
      <x:c r="A57" s="2"/>
      <x:c r="B57" s="2"/>
      <x:c r="C57" s="2"/>
      <x:c r="D57" s="3"/>
      <x:c r="E57" s="3"/>
      <x:c r="F57" s="3"/>
      <x:c r="G57" s="3"/>
      <x:c r="H57" s="3"/>
      <x:c r="I57" s="3"/>
      <x:c r="J57" s="2"/>
      <x:c r="K57" s="2"/>
      <x:c r="L57" s="2"/>
      <x:c r="M57" s="2"/>
      <x:c r="N57" s="2"/>
      <x:c r="O57" s="2"/>
      <x:c r="P57" s="2"/>
      <x:c r="Q57" s="2"/>
    </x:row>
    <x:row r="58" ht="22" customHeight="1">
      <x:c r="A58" s="2"/>
      <x:c r="B58" s="2"/>
      <x:c r="C58" s="2"/>
      <x:c r="D58" s="3"/>
      <x:c r="E58" s="3"/>
      <x:c r="F58" s="3"/>
      <x:c r="G58" s="3"/>
      <x:c r="H58" s="3"/>
      <x:c r="I58" s="3"/>
      <x:c r="J58" s="2"/>
      <x:c r="K58" s="2"/>
      <x:c r="L58" s="2"/>
      <x:c r="M58" s="2"/>
      <x:c r="N58" s="2"/>
      <x:c r="O58" s="2"/>
      <x:c r="P58" s="2"/>
      <x:c r="Q58" s="2"/>
    </x:row>
    <x:row r="59" ht="22" customHeight="1">
      <x:c r="A59" s="2"/>
      <x:c r="B59" s="2"/>
      <x:c r="C59" s="2"/>
      <x:c r="D59" s="3"/>
      <x:c r="E59" s="3"/>
      <x:c r="F59" s="3"/>
      <x:c r="G59" s="3"/>
      <x:c r="H59" s="3"/>
      <x:c r="I59" s="3"/>
      <x:c r="J59" s="2"/>
      <x:c r="K59" s="2"/>
      <x:c r="L59" s="2"/>
      <x:c r="M59" s="2"/>
      <x:c r="N59" s="2"/>
      <x:c r="O59" s="2"/>
      <x:c r="P59" s="2"/>
      <x:c r="Q59" s="2"/>
    </x:row>
    <x:row r="60" ht="22" customHeight="1">
      <x:c r="A60" s="2"/>
      <x:c r="B60" s="2"/>
      <x:c r="C60" s="2"/>
      <x:c r="D60" s="3"/>
      <x:c r="E60" s="3"/>
      <x:c r="F60" s="3"/>
      <x:c r="G60" s="3"/>
      <x:c r="H60" s="3"/>
      <x:c r="I60" s="3"/>
      <x:c r="J60" s="2"/>
      <x:c r="K60" s="2"/>
      <x:c r="L60" s="2"/>
      <x:c r="M60" s="2"/>
      <x:c r="N60" s="2"/>
      <x:c r="O60" s="2"/>
      <x:c r="P60" s="2"/>
      <x:c r="Q60" s="2"/>
    </x:row>
    <x:row r="61" ht="22" customHeight="1">
      <x:c r="A61" s="2"/>
      <x:c r="B61" s="2"/>
      <x:c r="C61" s="2"/>
      <x:c r="D61" s="3"/>
      <x:c r="E61" s="3"/>
      <x:c r="F61" s="3"/>
      <x:c r="G61" s="3"/>
      <x:c r="H61" s="3"/>
      <x:c r="I61" s="3"/>
      <x:c r="J61" s="2"/>
      <x:c r="K61" s="2"/>
      <x:c r="L61" s="2"/>
      <x:c r="M61" s="2"/>
      <x:c r="N61" s="2"/>
      <x:c r="O61" s="2"/>
      <x:c r="P61" s="2"/>
      <x:c r="Q61" s="2"/>
    </x:row>
    <x:row r="62" ht="22" customHeight="1">
      <x:c r="A62" s="2"/>
      <x:c r="B62" s="2"/>
      <x:c r="C62" s="2"/>
      <x:c r="D62" s="3"/>
      <x:c r="E62" s="3"/>
      <x:c r="F62" s="3"/>
      <x:c r="G62" s="3"/>
      <x:c r="H62" s="3"/>
      <x:c r="I62" s="3"/>
      <x:c r="J62" s="2"/>
      <x:c r="K62" s="2"/>
      <x:c r="L62" s="2"/>
      <x:c r="M62" s="2"/>
      <x:c r="N62" s="2"/>
      <x:c r="O62" s="2"/>
      <x:c r="P62" s="2"/>
      <x:c r="Q62" s="2"/>
    </x:row>
    <x:row r="63" ht="22" customHeight="1">
      <x:c r="A63" s="2"/>
      <x:c r="B63" s="2"/>
      <x:c r="C63" s="2"/>
      <x:c r="D63" s="3"/>
      <x:c r="E63" s="3"/>
      <x:c r="F63" s="3"/>
      <x:c r="G63" s="3"/>
      <x:c r="H63" s="3"/>
      <x:c r="I63" s="3"/>
      <x:c r="J63" s="2"/>
      <x:c r="K63" s="2"/>
      <x:c r="L63" s="2"/>
      <x:c r="M63" s="2"/>
      <x:c r="N63" s="2"/>
      <x:c r="O63" s="2"/>
      <x:c r="P63" s="2"/>
      <x:c r="Q63" s="2"/>
    </x:row>
    <x:row r="64" ht="22" customHeight="1">
      <x:c r="A64" s="2"/>
      <x:c r="B64" s="2"/>
      <x:c r="C64" s="2"/>
      <x:c r="D64" s="3"/>
      <x:c r="E64" s="3"/>
      <x:c r="F64" s="3"/>
      <x:c r="G64" s="3"/>
      <x:c r="H64" s="3"/>
      <x:c r="I64" s="3"/>
      <x:c r="J64" s="2"/>
      <x:c r="K64" s="2"/>
      <x:c r="L64" s="2"/>
      <x:c r="M64" s="2"/>
      <x:c r="N64" s="2"/>
      <x:c r="O64" s="2"/>
      <x:c r="P64" s="2"/>
      <x:c r="Q64" s="2"/>
    </x:row>
    <x:row r="65" ht="22" customHeight="1">
      <x:c r="A65" s="2"/>
      <x:c r="B65" s="2"/>
      <x:c r="C65" s="2"/>
      <x:c r="D65" s="3"/>
      <x:c r="E65" s="3"/>
      <x:c r="F65" s="3"/>
      <x:c r="G65" s="3"/>
      <x:c r="H65" s="3"/>
      <x:c r="I65" s="3"/>
      <x:c r="J65" s="2"/>
      <x:c r="K65" s="2"/>
      <x:c r="L65" s="2"/>
      <x:c r="M65" s="2"/>
      <x:c r="N65" s="2"/>
      <x:c r="O65" s="2"/>
      <x:c r="P65" s="2"/>
      <x:c r="Q65" s="2"/>
    </x:row>
    <x:row r="66" ht="22" customHeight="1">
      <x:c r="A66" s="2"/>
      <x:c r="B66" s="2"/>
      <x:c r="C66" s="2"/>
      <x:c r="D66" s="3"/>
      <x:c r="E66" s="3"/>
      <x:c r="F66" s="3"/>
      <x:c r="G66" s="3"/>
      <x:c r="H66" s="3"/>
      <x:c r="I66" s="3"/>
      <x:c r="J66" s="2"/>
      <x:c r="K66" s="2"/>
      <x:c r="L66" s="2"/>
      <x:c r="M66" s="2"/>
      <x:c r="N66" s="2"/>
      <x:c r="O66" s="2"/>
      <x:c r="P66" s="2"/>
      <x:c r="Q66" s="2"/>
    </x:row>
    <x:row r="67" ht="22" customHeight="1">
      <x:c r="A67" s="2"/>
      <x:c r="B67" s="2"/>
      <x:c r="C67" s="2"/>
      <x:c r="D67" s="3"/>
      <x:c r="E67" s="3"/>
      <x:c r="F67" s="3"/>
      <x:c r="G67" s="3"/>
      <x:c r="H67" s="3"/>
      <x:c r="I67" s="3"/>
      <x:c r="J67" s="2"/>
      <x:c r="K67" s="2"/>
      <x:c r="L67" s="2"/>
      <x:c r="M67" s="2"/>
      <x:c r="N67" s="2"/>
      <x:c r="O67" s="2"/>
      <x:c r="P67" s="2"/>
      <x:c r="Q67" s="2"/>
    </x:row>
    <x:row r="68" ht="22" customHeight="1">
      <x:c r="A68" s="2"/>
      <x:c r="B68" s="2"/>
      <x:c r="C68" s="2"/>
      <x:c r="D68" s="3"/>
      <x:c r="E68" s="3"/>
      <x:c r="F68" s="3"/>
      <x:c r="G68" s="3"/>
      <x:c r="H68" s="3"/>
      <x:c r="I68" s="3"/>
      <x:c r="J68" s="2"/>
      <x:c r="K68" s="2"/>
      <x:c r="L68" s="2"/>
      <x:c r="M68" s="2"/>
      <x:c r="N68" s="2"/>
      <x:c r="O68" s="2"/>
      <x:c r="P68" s="2"/>
      <x:c r="Q68" s="2"/>
    </x:row>
    <x:row r="69" ht="22" customHeight="1">
      <x:c r="A69" s="2"/>
      <x:c r="B69" s="2"/>
      <x:c r="C69" s="2"/>
      <x:c r="D69" s="3"/>
      <x:c r="E69" s="3"/>
      <x:c r="F69" s="3"/>
      <x:c r="G69" s="3"/>
      <x:c r="H69" s="3"/>
      <x:c r="I69" s="3"/>
      <x:c r="J69" s="2"/>
      <x:c r="K69" s="2"/>
      <x:c r="L69" s="2"/>
      <x:c r="M69" s="2"/>
      <x:c r="N69" s="2"/>
      <x:c r="O69" s="2"/>
      <x:c r="P69" s="2"/>
      <x:c r="Q69" s="2"/>
    </x:row>
    <x:row r="70" ht="22" customHeight="1">
      <x:c r="A70" s="2"/>
      <x:c r="B70" s="2"/>
      <x:c r="C70" s="2"/>
      <x:c r="D70" s="3"/>
      <x:c r="E70" s="3"/>
      <x:c r="F70" s="3"/>
      <x:c r="G70" s="3"/>
      <x:c r="H70" s="3"/>
      <x:c r="I70" s="3"/>
      <x:c r="J70" s="2"/>
      <x:c r="K70" s="2"/>
      <x:c r="L70" s="2"/>
      <x:c r="M70" s="2"/>
      <x:c r="N70" s="2"/>
      <x:c r="O70" s="2"/>
      <x:c r="P70" s="2"/>
      <x:c r="Q70" s="2"/>
    </x:row>
    <x:row r="71" ht="22" customHeight="1">
      <x:c r="A71" s="2"/>
      <x:c r="B71" s="2"/>
      <x:c r="C71" s="2"/>
      <x:c r="D71" s="3"/>
      <x:c r="E71" s="3"/>
      <x:c r="F71" s="3"/>
      <x:c r="G71" s="3"/>
      <x:c r="H71" s="3"/>
      <x:c r="I71" s="3"/>
      <x:c r="J71" s="2"/>
      <x:c r="K71" s="2"/>
      <x:c r="L71" s="2"/>
      <x:c r="M71" s="2"/>
      <x:c r="N71" s="2"/>
      <x:c r="O71" s="2"/>
      <x:c r="P71" s="2"/>
      <x:c r="Q71" s="2"/>
    </x:row>
    <x:row r="72" ht="22" customHeight="1">
      <x:c r="A72" s="2"/>
      <x:c r="B72" s="2"/>
      <x:c r="C72" s="2"/>
      <x:c r="D72" s="3"/>
      <x:c r="E72" s="3"/>
      <x:c r="F72" s="3"/>
      <x:c r="G72" s="3"/>
      <x:c r="H72" s="3"/>
      <x:c r="I72" s="3"/>
      <x:c r="J72" s="2"/>
      <x:c r="K72" s="2"/>
      <x:c r="L72" s="2"/>
      <x:c r="M72" s="2"/>
      <x:c r="N72" s="2"/>
      <x:c r="O72" s="2"/>
      <x:c r="P72" s="2"/>
      <x:c r="Q72" s="2"/>
    </x:row>
    <x:row r="73" ht="22" customHeight="1">
      <x:c r="A73" s="2"/>
      <x:c r="B73" s="2"/>
      <x:c r="C73" s="2"/>
      <x:c r="D73" s="3"/>
      <x:c r="E73" s="3"/>
      <x:c r="F73" s="3"/>
      <x:c r="G73" s="3"/>
      <x:c r="H73" s="3"/>
      <x:c r="I73" s="3"/>
      <x:c r="J73" s="2"/>
      <x:c r="K73" s="2"/>
      <x:c r="L73" s="2"/>
      <x:c r="M73" s="2"/>
      <x:c r="N73" s="2"/>
      <x:c r="O73" s="2"/>
      <x:c r="P73" s="2"/>
      <x:c r="Q73" s="2"/>
    </x:row>
    <x:row r="74" ht="22" customHeight="1">
      <x:c r="A74" s="2"/>
      <x:c r="B74" s="2"/>
      <x:c r="C74" s="2"/>
      <x:c r="D74" s="3"/>
      <x:c r="E74" s="3"/>
      <x:c r="F74" s="3"/>
      <x:c r="G74" s="3"/>
      <x:c r="H74" s="3"/>
      <x:c r="I74" s="3"/>
      <x:c r="J74" s="2"/>
      <x:c r="K74" s="2"/>
      <x:c r="L74" s="2"/>
      <x:c r="M74" s="2"/>
      <x:c r="N74" s="2"/>
      <x:c r="O74" s="2"/>
      <x:c r="P74" s="2"/>
      <x:c r="Q74" s="2"/>
    </x:row>
    <x:row r="75" ht="22" customHeight="1">
      <x:c r="A75" s="2"/>
      <x:c r="B75" s="2"/>
      <x:c r="C75" s="2"/>
      <x:c r="D75" s="3"/>
      <x:c r="E75" s="3"/>
      <x:c r="F75" s="3"/>
      <x:c r="G75" s="3"/>
      <x:c r="H75" s="3"/>
      <x:c r="I75" s="3"/>
      <x:c r="J75" s="2"/>
      <x:c r="K75" s="2"/>
      <x:c r="L75" s="2"/>
      <x:c r="M75" s="2"/>
      <x:c r="N75" s="2"/>
      <x:c r="O75" s="2"/>
      <x:c r="P75" s="2"/>
      <x:c r="Q75" s="2"/>
    </x:row>
    <x:row r="76" ht="22" customHeight="1">
      <x:c r="A76" s="2"/>
      <x:c r="B76" s="2"/>
      <x:c r="C76" s="2"/>
      <x:c r="D76" s="3"/>
      <x:c r="E76" s="3"/>
      <x:c r="F76" s="3"/>
      <x:c r="G76" s="3"/>
      <x:c r="H76" s="3"/>
      <x:c r="I76" s="3"/>
      <x:c r="J76" s="2"/>
      <x:c r="K76" s="2"/>
      <x:c r="L76" s="2"/>
      <x:c r="M76" s="2"/>
      <x:c r="N76" s="2"/>
      <x:c r="O76" s="2"/>
      <x:c r="P76" s="2"/>
      <x:c r="Q76" s="2"/>
    </x:row>
    <x:row r="77" ht="22" customHeight="1">
      <x:c r="A77" s="2"/>
      <x:c r="B77" s="2"/>
      <x:c r="C77" s="2"/>
      <x:c r="D77" s="3"/>
      <x:c r="E77" s="3"/>
      <x:c r="F77" s="3"/>
      <x:c r="G77" s="3"/>
      <x:c r="H77" s="3"/>
      <x:c r="I77" s="3"/>
      <x:c r="J77" s="2"/>
      <x:c r="K77" s="2"/>
      <x:c r="L77" s="2"/>
      <x:c r="M77" s="2"/>
      <x:c r="N77" s="2"/>
      <x:c r="O77" s="2"/>
      <x:c r="P77" s="2"/>
      <x:c r="Q77" s="2"/>
    </x:row>
    <x:row r="78" ht="22" customHeight="1">
      <x:c r="A78" s="2"/>
      <x:c r="B78" s="2"/>
      <x:c r="C78" s="2"/>
      <x:c r="D78" s="3"/>
      <x:c r="E78" s="3"/>
      <x:c r="F78" s="3"/>
      <x:c r="G78" s="3"/>
      <x:c r="H78" s="3"/>
      <x:c r="I78" s="3"/>
      <x:c r="J78" s="2"/>
      <x:c r="K78" s="2"/>
      <x:c r="L78" s="2"/>
      <x:c r="M78" s="2"/>
      <x:c r="N78" s="2"/>
      <x:c r="O78" s="2"/>
      <x:c r="P78" s="2"/>
      <x:c r="Q78" s="2"/>
    </x:row>
    <x:row r="79" ht="22" customHeight="1">
      <x:c r="A79" s="2"/>
      <x:c r="B79" s="2"/>
      <x:c r="C79" s="2"/>
      <x:c r="D79" s="3"/>
      <x:c r="E79" s="3"/>
      <x:c r="F79" s="3"/>
      <x:c r="G79" s="3"/>
      <x:c r="H79" s="3"/>
      <x:c r="I79" s="3"/>
      <x:c r="J79" s="2"/>
      <x:c r="K79" s="2"/>
      <x:c r="L79" s="2"/>
      <x:c r="M79" s="2"/>
      <x:c r="N79" s="2"/>
      <x:c r="O79" s="2"/>
      <x:c r="P79" s="2"/>
      <x:c r="Q79" s="2"/>
    </x:row>
    <x:row r="80" ht="22" customHeight="1">
      <x:c r="A80" s="2"/>
      <x:c r="B80" s="2"/>
      <x:c r="C80" s="2"/>
      <x:c r="D80" s="3"/>
      <x:c r="E80" s="3"/>
      <x:c r="F80" s="3"/>
      <x:c r="G80" s="3"/>
      <x:c r="H80" s="3"/>
      <x:c r="I80" s="3"/>
      <x:c r="J80" s="2"/>
      <x:c r="K80" s="2"/>
      <x:c r="L80" s="2"/>
      <x:c r="M80" s="2"/>
      <x:c r="N80" s="2"/>
      <x:c r="O80" s="2"/>
      <x:c r="P80" s="2"/>
      <x:c r="Q80" s="2"/>
    </x:row>
    <x:row r="81" ht="22" customHeight="1">
      <x:c r="A81" s="2"/>
      <x:c r="B81" s="2"/>
      <x:c r="C81" s="2"/>
      <x:c r="D81" s="3"/>
      <x:c r="E81" s="3"/>
      <x:c r="F81" s="3"/>
      <x:c r="G81" s="3"/>
      <x:c r="H81" s="3"/>
      <x:c r="I81" s="3"/>
      <x:c r="J81" s="2"/>
      <x:c r="K81" s="2"/>
      <x:c r="L81" s="2"/>
      <x:c r="M81" s="2"/>
      <x:c r="N81" s="2"/>
      <x:c r="O81" s="2"/>
      <x:c r="P81" s="2"/>
      <x:c r="Q81" s="2"/>
    </x:row>
    <x:row r="82" ht="22" customHeight="1">
      <x:c r="A82" s="2"/>
      <x:c r="B82" s="2"/>
      <x:c r="C82" s="2"/>
      <x:c r="D82" s="3"/>
      <x:c r="E82" s="3"/>
      <x:c r="F82" s="3"/>
      <x:c r="G82" s="3"/>
      <x:c r="H82" s="3"/>
      <x:c r="I82" s="3"/>
      <x:c r="J82" s="2"/>
      <x:c r="K82" s="2"/>
      <x:c r="L82" s="2"/>
      <x:c r="M82" s="2"/>
      <x:c r="N82" s="2"/>
      <x:c r="O82" s="2"/>
      <x:c r="P82" s="2"/>
      <x:c r="Q82" s="2"/>
    </x:row>
    <x:row r="83" ht="22" customHeight="1">
      <x:c r="A83" s="2"/>
      <x:c r="B83" s="2"/>
      <x:c r="C83" s="2"/>
      <x:c r="D83" s="3"/>
      <x:c r="E83" s="3"/>
      <x:c r="F83" s="3"/>
      <x:c r="G83" s="3"/>
      <x:c r="H83" s="3"/>
      <x:c r="I83" s="3"/>
      <x:c r="J83" s="2"/>
      <x:c r="K83" s="2"/>
      <x:c r="L83" s="2"/>
      <x:c r="M83" s="2"/>
      <x:c r="N83" s="2"/>
      <x:c r="O83" s="2"/>
      <x:c r="P83" s="2"/>
      <x:c r="Q83" s="2"/>
    </x:row>
    <x:row r="84" ht="22" customHeight="1">
      <x:c r="A84" s="2"/>
      <x:c r="B84" s="2"/>
      <x:c r="C84" s="2"/>
      <x:c r="D84" s="3"/>
      <x:c r="E84" s="3"/>
      <x:c r="F84" s="3"/>
      <x:c r="G84" s="3"/>
      <x:c r="H84" s="3"/>
      <x:c r="I84" s="3"/>
      <x:c r="J84" s="2"/>
      <x:c r="K84" s="2"/>
      <x:c r="L84" s="2"/>
      <x:c r="M84" s="2"/>
      <x:c r="N84" s="2"/>
      <x:c r="O84" s="2"/>
      <x:c r="P84" s="2"/>
      <x:c r="Q84" s="2"/>
    </x:row>
    <x:row r="85" ht="22" customHeight="1">
      <x:c r="A85" s="2"/>
      <x:c r="B85" s="2"/>
      <x:c r="C85" s="2"/>
      <x:c r="D85" s="3"/>
      <x:c r="E85" s="3"/>
      <x:c r="F85" s="3"/>
      <x:c r="G85" s="3"/>
      <x:c r="H85" s="3"/>
      <x:c r="I85" s="3"/>
      <x:c r="J85" s="2"/>
      <x:c r="K85" s="2"/>
      <x:c r="L85" s="2"/>
      <x:c r="M85" s="2"/>
      <x:c r="N85" s="2"/>
      <x:c r="O85" s="2"/>
      <x:c r="P85" s="2"/>
      <x:c r="Q85" s="2"/>
    </x:row>
    <x:row r="86" ht="22" customHeight="1">
      <x:c r="A86" s="2"/>
      <x:c r="B86" s="2"/>
      <x:c r="C86" s="2"/>
      <x:c r="D86" s="3"/>
      <x:c r="E86" s="3"/>
      <x:c r="F86" s="3"/>
      <x:c r="G86" s="3"/>
      <x:c r="H86" s="3"/>
      <x:c r="I86" s="3"/>
      <x:c r="J86" s="2"/>
      <x:c r="K86" s="2"/>
      <x:c r="L86" s="2"/>
      <x:c r="M86" s="2"/>
      <x:c r="N86" s="2"/>
      <x:c r="O86" s="2"/>
      <x:c r="P86" s="2"/>
      <x:c r="Q86" s="2"/>
    </x:row>
    <x:row r="87" ht="22" customHeight="1">
      <x:c r="A87" s="2"/>
      <x:c r="B87" s="2"/>
      <x:c r="C87" s="2"/>
      <x:c r="D87" s="3"/>
      <x:c r="E87" s="3"/>
      <x:c r="F87" s="3"/>
      <x:c r="G87" s="3"/>
      <x:c r="H87" s="3"/>
      <x:c r="I87" s="3"/>
      <x:c r="J87" s="2"/>
      <x:c r="K87" s="2"/>
      <x:c r="L87" s="2"/>
      <x:c r="M87" s="2"/>
      <x:c r="N87" s="2"/>
      <x:c r="O87" s="2"/>
      <x:c r="P87" s="2"/>
      <x:c r="Q87" s="2"/>
    </x:row>
    <x:row r="88" ht="22" customHeight="1">
      <x:c r="A88" s="2"/>
      <x:c r="B88" s="2"/>
      <x:c r="C88" s="2"/>
      <x:c r="D88" s="3"/>
      <x:c r="E88" s="3"/>
      <x:c r="F88" s="3"/>
      <x:c r="G88" s="3"/>
      <x:c r="H88" s="3"/>
      <x:c r="I88" s="3"/>
      <x:c r="J88" s="2"/>
      <x:c r="K88" s="2"/>
      <x:c r="L88" s="2"/>
      <x:c r="M88" s="2"/>
      <x:c r="N88" s="2"/>
      <x:c r="O88" s="2"/>
      <x:c r="P88" s="2"/>
      <x:c r="Q88" s="2"/>
    </x:row>
    <x:row r="89" ht="22" customHeight="1">
      <x:c r="A89" s="2"/>
      <x:c r="B89" s="2"/>
      <x:c r="C89" s="2"/>
      <x:c r="D89" s="3"/>
      <x:c r="E89" s="3"/>
      <x:c r="F89" s="3"/>
      <x:c r="G89" s="3"/>
      <x:c r="H89" s="3"/>
      <x:c r="I89" s="3"/>
      <x:c r="J89" s="2"/>
      <x:c r="K89" s="2"/>
      <x:c r="L89" s="2"/>
      <x:c r="M89" s="2"/>
      <x:c r="N89" s="2"/>
      <x:c r="O89" s="2"/>
      <x:c r="P89" s="2"/>
      <x:c r="Q89" s="2"/>
    </x:row>
    <x:row r="90" ht="22" customHeight="1">
      <x:c r="A90" s="2"/>
      <x:c r="B90" s="2"/>
      <x:c r="C90" s="2"/>
      <x:c r="D90" s="3"/>
      <x:c r="E90" s="3"/>
      <x:c r="F90" s="3"/>
      <x:c r="G90" s="3"/>
      <x:c r="H90" s="3"/>
      <x:c r="I90" s="3"/>
      <x:c r="J90" s="2"/>
      <x:c r="K90" s="2"/>
      <x:c r="L90" s="2"/>
      <x:c r="M90" s="2"/>
      <x:c r="N90" s="2"/>
      <x:c r="O90" s="2"/>
      <x:c r="P90" s="2"/>
      <x:c r="Q90" s="2"/>
    </x:row>
    <x:row r="91" ht="22" customHeight="1">
      <x:c r="A91" s="2"/>
      <x:c r="B91" s="2"/>
      <x:c r="C91" s="2"/>
      <x:c r="D91" s="3"/>
      <x:c r="E91" s="3"/>
      <x:c r="F91" s="3"/>
      <x:c r="G91" s="3"/>
      <x:c r="H91" s="3"/>
      <x:c r="I91" s="3"/>
      <x:c r="J91" s="2"/>
      <x:c r="K91" s="2"/>
      <x:c r="L91" s="2"/>
      <x:c r="M91" s="2"/>
      <x:c r="N91" s="2"/>
      <x:c r="O91" s="2"/>
      <x:c r="P91" s="2"/>
      <x:c r="Q91" s="2"/>
    </x:row>
    <x:row r="92" ht="22" customHeight="1">
      <x:c r="A92" s="2"/>
      <x:c r="B92" s="2"/>
      <x:c r="C92" s="2"/>
      <x:c r="D92" s="3"/>
      <x:c r="E92" s="3"/>
      <x:c r="F92" s="3"/>
      <x:c r="G92" s="3"/>
      <x:c r="H92" s="3"/>
      <x:c r="I92" s="3"/>
      <x:c r="J92" s="2"/>
      <x:c r="K92" s="2"/>
      <x:c r="L92" s="2"/>
      <x:c r="M92" s="2"/>
      <x:c r="N92" s="2"/>
      <x:c r="O92" s="2"/>
      <x:c r="P92" s="2"/>
      <x:c r="Q92" s="2"/>
    </x:row>
    <x:row r="93" ht="22" customHeight="1">
      <x:c r="A93" s="2"/>
      <x:c r="B93" s="2"/>
      <x:c r="C93" s="2"/>
      <x:c r="D93" s="3"/>
      <x:c r="E93" s="3"/>
      <x:c r="F93" s="3"/>
      <x:c r="G93" s="3"/>
      <x:c r="H93" s="3"/>
      <x:c r="I93" s="3"/>
      <x:c r="J93" s="2"/>
      <x:c r="K93" s="2"/>
      <x:c r="L93" s="2"/>
      <x:c r="M93" s="2"/>
      <x:c r="N93" s="2"/>
      <x:c r="O93" s="2"/>
      <x:c r="P93" s="2"/>
      <x:c r="Q93" s="2"/>
    </x:row>
    <x:row r="94" ht="22" customHeight="1">
      <x:c r="A94" s="2"/>
      <x:c r="B94" s="2"/>
      <x:c r="C94" s="2"/>
      <x:c r="D94" s="3"/>
      <x:c r="E94" s="3"/>
      <x:c r="F94" s="3"/>
      <x:c r="G94" s="3"/>
      <x:c r="H94" s="3"/>
      <x:c r="I94" s="3"/>
      <x:c r="J94" s="2"/>
      <x:c r="K94" s="2"/>
      <x:c r="L94" s="2"/>
      <x:c r="M94" s="2"/>
      <x:c r="N94" s="2"/>
      <x:c r="O94" s="2"/>
      <x:c r="P94" s="2"/>
      <x:c r="Q94" s="2"/>
    </x:row>
    <x:row r="95" ht="22" customHeight="1">
      <x:c r="A95" s="2"/>
      <x:c r="B95" s="2"/>
      <x:c r="C95" s="2"/>
      <x:c r="D95" s="3"/>
      <x:c r="E95" s="3"/>
      <x:c r="F95" s="3"/>
      <x:c r="G95" s="3"/>
      <x:c r="H95" s="3"/>
      <x:c r="I95" s="3"/>
      <x:c r="J95" s="2"/>
      <x:c r="K95" s="2"/>
      <x:c r="L95" s="2"/>
      <x:c r="M95" s="2"/>
      <x:c r="N95" s="2"/>
      <x:c r="O95" s="2"/>
      <x:c r="P95" s="2"/>
      <x:c r="Q95" s="2"/>
    </x:row>
    <x:row r="96" ht="22" customHeight="1">
      <x:c r="A96" s="2"/>
      <x:c r="B96" s="2"/>
      <x:c r="C96" s="2"/>
      <x:c r="D96" s="3"/>
      <x:c r="E96" s="3"/>
      <x:c r="F96" s="3"/>
      <x:c r="G96" s="3"/>
      <x:c r="H96" s="3"/>
      <x:c r="I96" s="3"/>
      <x:c r="J96" s="2"/>
      <x:c r="K96" s="2"/>
      <x:c r="L96" s="2"/>
      <x:c r="M96" s="2"/>
      <x:c r="N96" s="2"/>
      <x:c r="O96" s="2"/>
      <x:c r="P96" s="2"/>
      <x:c r="Q96" s="2"/>
    </x:row>
    <x:row r="97" ht="22" customHeight="1">
      <x:c r="A97" s="2"/>
      <x:c r="B97" s="2"/>
      <x:c r="C97" s="2"/>
      <x:c r="D97" s="3"/>
      <x:c r="E97" s="3"/>
      <x:c r="F97" s="3"/>
      <x:c r="G97" s="3"/>
      <x:c r="H97" s="3"/>
      <x:c r="I97" s="3"/>
      <x:c r="J97" s="2"/>
      <x:c r="K97" s="2"/>
      <x:c r="L97" s="2"/>
      <x:c r="M97" s="2"/>
      <x:c r="N97" s="2"/>
      <x:c r="O97" s="2"/>
      <x:c r="P97" s="2"/>
      <x:c r="Q97" s="2"/>
    </x:row>
    <x:row r="98" ht="22" customHeight="1">
      <x:c r="A98" s="2"/>
      <x:c r="B98" s="2"/>
      <x:c r="C98" s="2"/>
      <x:c r="D98" s="3"/>
      <x:c r="E98" s="3"/>
      <x:c r="F98" s="3"/>
      <x:c r="G98" s="3"/>
      <x:c r="H98" s="3"/>
      <x:c r="I98" s="3"/>
      <x:c r="J98" s="2"/>
      <x:c r="K98" s="2"/>
      <x:c r="L98" s="2"/>
      <x:c r="M98" s="2"/>
      <x:c r="N98" s="2"/>
      <x:c r="O98" s="2"/>
      <x:c r="P98" s="2"/>
      <x:c r="Q98" s="2"/>
    </x:row>
    <x:row r="99" ht="22" customHeight="1">
      <x:c r="A99" s="2"/>
      <x:c r="B99" s="2"/>
      <x:c r="C99" s="2"/>
      <x:c r="D99" s="3"/>
      <x:c r="E99" s="3"/>
      <x:c r="F99" s="3"/>
      <x:c r="G99" s="3"/>
      <x:c r="H99" s="3"/>
      <x:c r="I99" s="3"/>
      <x:c r="J99" s="2"/>
      <x:c r="K99" s="2"/>
      <x:c r="L99" s="2"/>
      <x:c r="M99" s="2"/>
      <x:c r="N99" s="2"/>
      <x:c r="O99" s="2"/>
      <x:c r="P99" s="2"/>
      <x:c r="Q99" s="2"/>
    </x:row>
    <x:row r="100" ht="22" customHeight="1">
      <x:c r="A100" s="2"/>
      <x:c r="B100" s="2"/>
      <x:c r="C100" s="2"/>
      <x:c r="D100" s="3"/>
      <x:c r="E100" s="3"/>
      <x:c r="F100" s="3"/>
      <x:c r="G100" s="3"/>
      <x:c r="H100" s="3"/>
      <x:c r="I100" s="3"/>
      <x:c r="J100" s="2"/>
      <x:c r="K100" s="2"/>
      <x:c r="L100" s="2"/>
      <x:c r="M100" s="2"/>
      <x:c r="N100" s="2"/>
      <x:c r="O100" s="2"/>
      <x:c r="P100" s="2"/>
      <x:c r="Q100" s="2"/>
    </x:row>
    <x:row r="101" ht="22" customHeight="1">
      <x:c r="A101" s="2"/>
      <x:c r="B101" s="2"/>
      <x:c r="C101" s="2"/>
      <x:c r="D101" s="3"/>
      <x:c r="E101" s="3"/>
      <x:c r="F101" s="3"/>
      <x:c r="G101" s="3"/>
      <x:c r="H101" s="3"/>
      <x:c r="I101" s="3"/>
      <x:c r="J101" s="2"/>
      <x:c r="K101" s="2"/>
      <x:c r="L101" s="2"/>
      <x:c r="M101" s="2"/>
      <x:c r="N101" s="2"/>
      <x:c r="O101" s="2"/>
      <x:c r="P101" s="2"/>
      <x:c r="Q101" s="2"/>
    </x:row>
    <x:row r="102" ht="22" customHeight="1">
      <x:c r="A102" s="2"/>
      <x:c r="B102" s="2"/>
      <x:c r="C102" s="2"/>
      <x:c r="D102" s="3"/>
      <x:c r="E102" s="3"/>
      <x:c r="F102" s="3"/>
      <x:c r="G102" s="3"/>
      <x:c r="H102" s="3"/>
      <x:c r="I102" s="3"/>
      <x:c r="J102" s="2"/>
      <x:c r="K102" s="2"/>
      <x:c r="L102" s="2"/>
      <x:c r="M102" s="2"/>
      <x:c r="N102" s="2"/>
      <x:c r="O102" s="2"/>
      <x:c r="P102" s="2"/>
      <x:c r="Q102" s="2"/>
    </x:row>
    <x:row r="103" ht="22" customHeight="1">
      <x:c r="A103" s="2"/>
      <x:c r="B103" s="2"/>
      <x:c r="C103" s="2"/>
      <x:c r="D103" s="3"/>
      <x:c r="E103" s="3"/>
      <x:c r="F103" s="3"/>
      <x:c r="G103" s="3"/>
      <x:c r="H103" s="3"/>
      <x:c r="I103" s="3"/>
      <x:c r="J103" s="2"/>
      <x:c r="K103" s="2"/>
      <x:c r="L103" s="2"/>
      <x:c r="M103" s="2"/>
      <x:c r="N103" s="2"/>
      <x:c r="O103" s="2"/>
      <x:c r="P103" s="2"/>
      <x:c r="Q103" s="2"/>
    </x:row>
    <x:row r="104" ht="22" customHeight="1">
      <x:c r="A104" s="2"/>
      <x:c r="B104" s="2"/>
      <x:c r="C104" s="2"/>
      <x:c r="D104" s="3"/>
      <x:c r="E104" s="3"/>
      <x:c r="F104" s="3"/>
      <x:c r="G104" s="3"/>
      <x:c r="H104" s="3"/>
      <x:c r="I104" s="3"/>
      <x:c r="J104" s="2"/>
      <x:c r="K104" s="2"/>
      <x:c r="L104" s="2"/>
      <x:c r="M104" s="2"/>
      <x:c r="N104" s="2"/>
      <x:c r="O104" s="2"/>
      <x:c r="P104" s="2"/>
      <x:c r="Q104" s="2"/>
    </x:row>
    <x:row r="105" ht="22" customHeight="1">
      <x:c r="A105" s="2"/>
      <x:c r="B105" s="2"/>
      <x:c r="C105" s="2"/>
      <x:c r="D105" s="3"/>
      <x:c r="E105" s="3"/>
      <x:c r="F105" s="3"/>
      <x:c r="G105" s="3"/>
      <x:c r="H105" s="3"/>
      <x:c r="I105" s="3"/>
      <x:c r="J105" s="2"/>
      <x:c r="K105" s="2"/>
      <x:c r="L105" s="2"/>
      <x:c r="M105" s="2"/>
      <x:c r="N105" s="2"/>
      <x:c r="O105" s="2"/>
      <x:c r="P105" s="2"/>
      <x:c r="Q105" s="2"/>
    </x:row>
    <x:row r="106" ht="22" customHeight="1">
      <x:c r="A106" s="2"/>
      <x:c r="B106" s="2"/>
      <x:c r="C106" s="2"/>
      <x:c r="D106" s="3"/>
      <x:c r="E106" s="3"/>
      <x:c r="F106" s="3"/>
      <x:c r="G106" s="3"/>
      <x:c r="H106" s="3"/>
      <x:c r="I106" s="3"/>
      <x:c r="J106" s="2"/>
      <x:c r="K106" s="2"/>
      <x:c r="L106" s="2"/>
      <x:c r="M106" s="2"/>
      <x:c r="N106" s="2"/>
      <x:c r="O106" s="2"/>
      <x:c r="P106" s="2"/>
      <x:c r="Q106" s="2"/>
    </x:row>
    <x:row r="107" ht="22" customHeight="1">
      <x:c r="A107" s="2"/>
      <x:c r="B107" s="2"/>
      <x:c r="C107" s="2"/>
      <x:c r="D107" s="3"/>
      <x:c r="E107" s="3"/>
      <x:c r="F107" s="3"/>
      <x:c r="G107" s="3"/>
      <x:c r="H107" s="3"/>
      <x:c r="I107" s="3"/>
      <x:c r="J107" s="2"/>
      <x:c r="K107" s="2"/>
      <x:c r="L107" s="2"/>
      <x:c r="M107" s="2"/>
      <x:c r="N107" s="2"/>
      <x:c r="O107" s="2"/>
      <x:c r="P107" s="2"/>
      <x:c r="Q107" s="2"/>
    </x:row>
    <x:row r="108" ht="22" customHeight="1">
      <x:c r="A108" s="2"/>
      <x:c r="B108" s="2"/>
      <x:c r="C108" s="2"/>
      <x:c r="D108" s="3"/>
      <x:c r="E108" s="3"/>
      <x:c r="F108" s="3"/>
      <x:c r="G108" s="3"/>
      <x:c r="H108" s="3"/>
      <x:c r="I108" s="3"/>
      <x:c r="J108" s="2"/>
      <x:c r="K108" s="2"/>
      <x:c r="L108" s="2"/>
      <x:c r="M108" s="2"/>
      <x:c r="N108" s="2"/>
      <x:c r="O108" s="2"/>
      <x:c r="P108" s="2"/>
      <x:c r="Q108" s="2"/>
    </x:row>
    <x:row r="109" ht="22" customHeight="1">
      <x:c r="A109" s="2"/>
      <x:c r="B109" s="2"/>
      <x:c r="C109" s="2"/>
      <x:c r="D109" s="3"/>
      <x:c r="E109" s="3"/>
      <x:c r="F109" s="3"/>
      <x:c r="G109" s="3"/>
      <x:c r="H109" s="3"/>
      <x:c r="I109" s="3"/>
      <x:c r="J109" s="2"/>
      <x:c r="K109" s="2"/>
      <x:c r="L109" s="2"/>
      <x:c r="M109" s="2"/>
      <x:c r="N109" s="2"/>
      <x:c r="O109" s="2"/>
      <x:c r="P109" s="2"/>
      <x:c r="Q109" s="2"/>
    </x:row>
    <x:row r="110" ht="22" customHeight="1">
      <x:c r="A110" s="2"/>
      <x:c r="B110" s="2"/>
      <x:c r="C110" s="2"/>
      <x:c r="D110" s="3"/>
      <x:c r="E110" s="3"/>
      <x:c r="F110" s="3"/>
      <x:c r="G110" s="3"/>
      <x:c r="H110" s="3"/>
      <x:c r="I110" s="3"/>
      <x:c r="J110" s="2"/>
      <x:c r="K110" s="2"/>
      <x:c r="L110" s="2"/>
      <x:c r="M110" s="2"/>
      <x:c r="N110" s="2"/>
      <x:c r="O110" s="2"/>
      <x:c r="P110" s="2"/>
      <x:c r="Q110" s="2"/>
    </x:row>
    <x:row r="111" ht="22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 ht="22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 ht="22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 ht="22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 ht="22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 ht="22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 ht="22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 ht="22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 ht="22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 ht="22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3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2" customHeight="1">
      <x:c r="A2" s="2"/>
      <x:c r="B2" s="2"/>
      <x:c r="C2" s="4" t="str">
        <x:v>Precedents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</x:row>
    <x:row r="3" ht="22" customHeight="1">
      <x:c r="A3" s="2"/>
      <x:c r="B3" s="2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</x:row>
    <x:row r="4" ht="22" customHeight="1">
      <x:c r="A4" s="2"/>
      <x:c r="B4" s="2"/>
      <x:c r="C4" s="2" t="str">
        <x:v>USD millions | FY2025 historical; 2026–2030 forecast</x:v>
      </x:c>
      <x:c r="D4" s="2"/>
      <x:c r="E4" s="2"/>
      <x:c r="F4" s="2"/>
      <x:c r="G4" s="2"/>
      <x:c r="H4" s="2"/>
      <x:c r="I4" s="2"/>
      <x:c r="J4" s="2"/>
      <x:c r="K4" s="2" t="str">
        <x:v>Case Selected:</x:v>
      </x:c>
      <x:c r="L4" s="8" t="str">
        <x:f>CHOOSE(Assumptions!$D$5,"Base","Upside","Downside")</x:f>
        <x:v>Base</x:v>
      </x:c>
      <x:c r="M4" s="2"/>
      <x:c r="N4" s="2"/>
      <x:c r="O4" s="2"/>
      <x:c r="P4" s="2"/>
      <x:c r="Q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2" customHeight="1">
      <x:c r="A6" s="2"/>
      <x:c r="B6" s="2"/>
      <x:c r="C6" s="13" t="str">
        <x:v>Transaction</x:v>
      </x:c>
      <x:c r="D6" s="14" t="str">
        <x:v>Announced</x:v>
      </x:c>
      <x:c r="E6" s="14" t="str">
        <x:v>Value ($m)</x:v>
      </x:c>
      <x:c r="F6" s="14" t="str">
        <x:v>Rooms</x:v>
      </x:c>
      <x:c r="G6" s="14" t="str">
        <x:v>Value / key ($)</x:v>
      </x:c>
      <x:c r="H6" s="14" t="str">
        <x:v>Source ID</x:v>
      </x:c>
      <x:c r="I6" s="14"/>
      <x:c r="J6" s="2"/>
      <x:c r="K6" s="2"/>
      <x:c r="L6" s="2"/>
      <x:c r="M6" s="2"/>
      <x:c r="N6" s="2"/>
      <x:c r="O6" s="2"/>
      <x:c r="P6" s="2"/>
      <x:c r="Q6" s="2"/>
    </x:row>
    <x:row r="7" ht="22" customHeight="1">
      <x:c r="A7" s="2"/>
      <x:c r="B7" s="2"/>
      <x:c r="C7" s="2"/>
      <x:c r="D7" s="3"/>
      <x:c r="E7" s="3"/>
      <x:c r="F7" s="3"/>
      <x:c r="G7" s="3"/>
      <x:c r="H7" s="3"/>
      <x:c r="I7" s="3"/>
      <x:c r="J7" s="2"/>
      <x:c r="K7" s="2"/>
      <x:c r="L7" s="2"/>
      <x:c r="M7" s="2"/>
      <x:c r="N7" s="2"/>
      <x:c r="O7" s="2"/>
      <x:c r="P7" s="2"/>
      <x:c r="Q7" s="2"/>
    </x:row>
    <x:row r="8" ht="22" customHeight="1">
      <x:c r="A8" s="2"/>
      <x:c r="B8" s="2"/>
      <x:c r="C8" s="2" t="str">
        <x:v>KSL / Hersha</x:v>
      </x:c>
      <x:c r="D8" s="3" t="str">
        <x:v>2023-08-28</x:v>
      </x:c>
      <x:c r="E8" s="10" t="n">
        <x:v>1400</x:v>
      </x:c>
      <x:c r="F8" s="10" t="n">
        <x:v>3811</x:v>
      </x:c>
      <x:c r="G8" s="27" t="n">
        <x:f>E8*1000000/F8</x:f>
        <x:v>367357.64891104697</x:v>
      </x:c>
      <x:c r="H8" s="3" t="str">
        <x:v>HERSHA</x:v>
      </x:c>
      <x:c r="I8" s="3"/>
      <x:c r="J8" s="2"/>
      <x:c r="K8" s="2"/>
      <x:c r="L8" s="2"/>
      <x:c r="M8" s="2"/>
      <x:c r="N8" s="2"/>
      <x:c r="O8" s="2"/>
      <x:c r="P8" s="2"/>
      <x:c r="Q8" s="2"/>
    </x:row>
    <x:row r="9" ht="22" customHeight="1">
      <x:c r="A9" s="2"/>
      <x:c r="B9" s="2"/>
      <x:c r="C9" s="2" t="str">
        <x:v>Brookfield / Watermark</x:v>
      </x:c>
      <x:c r="D9" s="3" t="str">
        <x:v>2022-05-06</x:v>
      </x:c>
      <x:c r="E9" s="10" t="n">
        <x:v>3800</x:v>
      </x:c>
      <x:c r="F9" s="10" t="n">
        <x:v>8100</x:v>
      </x:c>
      <x:c r="G9" s="27" t="n">
        <x:f>E9*1000000/F9</x:f>
        <x:v>469135.8024691358</x:v>
      </x:c>
      <x:c r="H9" s="3" t="str">
        <x:v>WATERMARK</x:v>
      </x:c>
      <x:c r="I9" s="3"/>
      <x:c r="J9" s="2"/>
      <x:c r="K9" s="2"/>
      <x:c r="L9" s="2"/>
      <x:c r="M9" s="2"/>
      <x:c r="N9" s="2"/>
      <x:c r="O9" s="2"/>
      <x:c r="P9" s="2"/>
      <x:c r="Q9" s="2"/>
    </x:row>
    <x:row r="10" ht="22" customHeight="1">
      <x:c r="A10" s="2"/>
      <x:c r="B10" s="2"/>
      <x:c r="C10" s="2"/>
      <x:c r="D10" s="3"/>
      <x:c r="E10" s="3"/>
      <x:c r="F10" s="3"/>
      <x:c r="G10" s="3"/>
      <x:c r="H10" s="3"/>
      <x:c r="I10" s="3"/>
      <x:c r="J10" s="2"/>
      <x:c r="K10" s="2"/>
      <x:c r="L10" s="2"/>
      <x:c r="M10" s="2"/>
      <x:c r="N10" s="2"/>
      <x:c r="O10" s="2"/>
      <x:c r="P10" s="2"/>
      <x:c r="Q10" s="2"/>
    </x:row>
    <x:row r="11" ht="22" customHeight="1">
      <x:c r="A11" s="2"/>
      <x:c r="B11" s="2"/>
      <x:c r="C11" s="2"/>
      <x:c r="D11" s="3"/>
      <x:c r="E11" s="3"/>
      <x:c r="F11" s="3"/>
      <x:c r="G11" s="3"/>
      <x:c r="H11" s="3"/>
      <x:c r="I11" s="3"/>
      <x:c r="J11" s="2"/>
      <x:c r="K11" s="2"/>
      <x:c r="L11" s="2"/>
      <x:c r="M11" s="2"/>
      <x:c r="N11" s="2"/>
      <x:c r="O11" s="2"/>
      <x:c r="P11" s="2"/>
      <x:c r="Q11" s="2"/>
    </x:row>
    <x:row r="12" ht="22" customHeight="1">
      <x:c r="A12" s="2"/>
      <x:c r="B12" s="2"/>
      <x:c r="C12" s="19" t="str">
        <x:v>Watermark disclosed over 8,100 rooms; using 8,100 gives an approximate upper-bound value per key.</x:v>
      </x:c>
      <x:c r="D12" s="20"/>
      <x:c r="E12" s="20"/>
      <x:c r="F12" s="20"/>
      <x:c r="G12" s="20"/>
      <x:c r="H12" s="20"/>
      <x:c r="I12" s="20"/>
      <x:c r="J12" s="19"/>
      <x:c r="K12" s="19"/>
      <x:c r="L12" s="19"/>
      <x:c r="M12" s="19"/>
      <x:c r="N12" s="2"/>
      <x:c r="O12" s="2"/>
      <x:c r="P12" s="2"/>
      <x:c r="Q12" s="2"/>
    </x:row>
    <x:row r="13" ht="22" customHeight="1">
      <x:c r="A13" s="2"/>
      <x:c r="B13" s="2"/>
      <x:c r="C13" s="2"/>
      <x:c r="D13" s="3"/>
      <x:c r="E13" s="3"/>
      <x:c r="F13" s="3"/>
      <x:c r="G13" s="3"/>
      <x:c r="H13" s="3"/>
      <x:c r="I13" s="3"/>
      <x:c r="J13" s="2"/>
      <x:c r="K13" s="2"/>
      <x:c r="L13" s="2"/>
      <x:c r="M13" s="2"/>
      <x:c r="N13" s="2"/>
      <x:c r="O13" s="2"/>
      <x:c r="P13" s="2"/>
      <x:c r="Q13" s="2"/>
    </x:row>
    <x:row r="14" ht="22" customHeight="1">
      <x:c r="A14" s="2"/>
      <x:c r="B14" s="2"/>
      <x:c r="C14" s="19" t="str">
        <x:v>Announced transaction values include capital structure items; not unencumbered real estate appraisals.</x:v>
      </x:c>
      <x:c r="D14" s="20"/>
      <x:c r="E14" s="20"/>
      <x:c r="F14" s="20"/>
      <x:c r="G14" s="20"/>
      <x:c r="H14" s="20"/>
      <x:c r="I14" s="20"/>
      <x:c r="J14" s="19"/>
      <x:c r="K14" s="19"/>
      <x:c r="L14" s="19"/>
      <x:c r="M14" s="19"/>
      <x:c r="N14" s="2"/>
      <x:c r="O14" s="2"/>
      <x:c r="P14" s="2"/>
      <x:c r="Q14" s="2"/>
    </x:row>
    <x:row r="15" ht="22" customHeight="1">
      <x:c r="A15" s="2"/>
      <x:c r="B15" s="2"/>
      <x:c r="C15" s="2"/>
      <x:c r="D15" s="3"/>
      <x:c r="E15" s="3"/>
      <x:c r="F15" s="3"/>
      <x:c r="G15" s="3"/>
      <x:c r="H15" s="3"/>
      <x:c r="I15" s="3"/>
      <x:c r="J15" s="2"/>
      <x:c r="K15" s="2"/>
      <x:c r="L15" s="2"/>
      <x:c r="M15" s="2"/>
      <x:c r="N15" s="2"/>
      <x:c r="O15" s="2"/>
      <x:c r="P15" s="2"/>
      <x:c r="Q15" s="2"/>
    </x:row>
    <x:row r="16" ht="22" customHeight="1">
      <x:c r="A16" s="2"/>
      <x:c r="B16" s="2"/>
      <x:c r="C16" s="19" t="str">
        <x:v>No unsupported EBITDA multiples are inferred. Different years, asset quality and lease terms limit comparability.</x:v>
      </x:c>
      <x:c r="D16" s="20"/>
      <x:c r="E16" s="20"/>
      <x:c r="F16" s="20"/>
      <x:c r="G16" s="20"/>
      <x:c r="H16" s="20"/>
      <x:c r="I16" s="20"/>
      <x:c r="J16" s="19"/>
      <x:c r="K16" s="19"/>
      <x:c r="L16" s="19"/>
      <x:c r="M16" s="19"/>
      <x:c r="N16" s="2"/>
      <x:c r="O16" s="2"/>
      <x:c r="P16" s="2"/>
      <x:c r="Q16" s="2"/>
    </x:row>
    <x:row r="17" ht="22" customHeight="1">
      <x:c r="A17" s="2"/>
      <x:c r="B17" s="2"/>
      <x:c r="C17" s="2"/>
      <x:c r="D17" s="3"/>
      <x:c r="E17" s="3"/>
      <x:c r="F17" s="3"/>
      <x:c r="G17" s="3"/>
      <x:c r="H17" s="3"/>
      <x:c r="I17" s="3"/>
      <x:c r="J17" s="2"/>
      <x:c r="K17" s="2"/>
      <x:c r="L17" s="2"/>
      <x:c r="M17" s="2"/>
      <x:c r="N17" s="2"/>
      <x:c r="O17" s="2"/>
      <x:c r="P17" s="2"/>
      <x:c r="Q17" s="2"/>
    </x:row>
    <x:row r="18" ht="22" customHeight="1">
      <x:c r="A18" s="2"/>
      <x:c r="B18" s="2"/>
      <x:c r="C18" s="2"/>
      <x:c r="D18" s="3"/>
      <x:c r="E18" s="3"/>
      <x:c r="F18" s="3"/>
      <x:c r="G18" s="3"/>
      <x:c r="H18" s="3"/>
      <x:c r="I18" s="3"/>
      <x:c r="J18" s="2"/>
      <x:c r="K18" s="2"/>
      <x:c r="L18" s="2"/>
      <x:c r="M18" s="2"/>
      <x:c r="N18" s="2"/>
      <x:c r="O18" s="2"/>
      <x:c r="P18" s="2"/>
      <x:c r="Q18" s="2"/>
    </x:row>
    <x:row r="19" ht="22" customHeight="1">
      <x:c r="A19" s="2"/>
      <x:c r="B19" s="2"/>
      <x:c r="C19" s="2"/>
      <x:c r="D19" s="3"/>
      <x:c r="E19" s="3"/>
      <x:c r="F19" s="3"/>
      <x:c r="G19" s="3"/>
      <x:c r="H19" s="3"/>
      <x:c r="I19" s="3"/>
      <x:c r="J19" s="2"/>
      <x:c r="K19" s="2"/>
      <x:c r="L19" s="2"/>
      <x:c r="M19" s="2"/>
      <x:c r="N19" s="2"/>
      <x:c r="O19" s="2"/>
      <x:c r="P19" s="2"/>
      <x:c r="Q19" s="2"/>
    </x:row>
    <x:row r="20" ht="22" customHeight="1">
      <x:c r="A20" s="2"/>
      <x:c r="B20" s="2"/>
      <x:c r="C20" s="2"/>
      <x:c r="D20" s="3"/>
      <x:c r="E20" s="3"/>
      <x:c r="F20" s="3"/>
      <x:c r="G20" s="3"/>
      <x:c r="H20" s="3"/>
      <x:c r="I20" s="3"/>
      <x:c r="J20" s="2"/>
      <x:c r="K20" s="2"/>
      <x:c r="L20" s="2"/>
      <x:c r="M20" s="2"/>
      <x:c r="N20" s="2"/>
      <x:c r="O20" s="2"/>
      <x:c r="P20" s="2"/>
      <x:c r="Q20" s="2"/>
    </x:row>
    <x:row r="21" ht="22" customHeight="1">
      <x:c r="A21" s="2"/>
      <x:c r="B21" s="2"/>
      <x:c r="C21" s="2"/>
      <x:c r="D21" s="3"/>
      <x:c r="E21" s="3"/>
      <x:c r="F21" s="3"/>
      <x:c r="G21" s="3"/>
      <x:c r="H21" s="3"/>
      <x:c r="I21" s="3"/>
      <x:c r="J21" s="2"/>
      <x:c r="K21" s="2"/>
      <x:c r="L21" s="2"/>
      <x:c r="M21" s="2"/>
      <x:c r="N21" s="2"/>
      <x:c r="O21" s="2"/>
      <x:c r="P21" s="2"/>
      <x:c r="Q21" s="2"/>
    </x:row>
    <x:row r="22" ht="22" customHeight="1">
      <x:c r="A22" s="2"/>
      <x:c r="B22" s="2"/>
      <x:c r="C22" s="2"/>
      <x:c r="D22" s="3"/>
      <x:c r="E22" s="3"/>
      <x:c r="F22" s="3"/>
      <x:c r="G22" s="3"/>
      <x:c r="H22" s="3"/>
      <x:c r="I22" s="3"/>
      <x:c r="J22" s="2"/>
      <x:c r="K22" s="2"/>
      <x:c r="L22" s="2"/>
      <x:c r="M22" s="2"/>
      <x:c r="N22" s="2"/>
      <x:c r="O22" s="2"/>
      <x:c r="P22" s="2"/>
      <x:c r="Q22" s="2"/>
    </x:row>
    <x:row r="23" ht="22" customHeight="1">
      <x:c r="A23" s="2"/>
      <x:c r="B23" s="2"/>
      <x:c r="C23" s="2"/>
      <x:c r="D23" s="3"/>
      <x:c r="E23" s="3"/>
      <x:c r="F23" s="3"/>
      <x:c r="G23" s="3"/>
      <x:c r="H23" s="3"/>
      <x:c r="I23" s="3"/>
      <x:c r="J23" s="2"/>
      <x:c r="K23" s="2"/>
      <x:c r="L23" s="2"/>
      <x:c r="M23" s="2"/>
      <x:c r="N23" s="2"/>
      <x:c r="O23" s="2"/>
      <x:c r="P23" s="2"/>
      <x:c r="Q23" s="2"/>
    </x:row>
    <x:row r="24" ht="22" customHeight="1">
      <x:c r="A24" s="2"/>
      <x:c r="B24" s="2"/>
      <x:c r="C24" s="2"/>
      <x:c r="D24" s="3"/>
      <x:c r="E24" s="3"/>
      <x:c r="F24" s="3"/>
      <x:c r="G24" s="3"/>
      <x:c r="H24" s="3"/>
      <x:c r="I24" s="3"/>
      <x:c r="J24" s="2"/>
      <x:c r="K24" s="2"/>
      <x:c r="L24" s="2"/>
      <x:c r="M24" s="2"/>
      <x:c r="N24" s="2"/>
      <x:c r="O24" s="2"/>
      <x:c r="P24" s="2"/>
      <x:c r="Q24" s="2"/>
    </x:row>
    <x:row r="25" ht="22" customHeight="1">
      <x:c r="A25" s="2"/>
      <x:c r="B25" s="2"/>
      <x:c r="C25" s="2"/>
      <x:c r="D25" s="3"/>
      <x:c r="E25" s="3"/>
      <x:c r="F25" s="3"/>
      <x:c r="G25" s="3"/>
      <x:c r="H25" s="3"/>
      <x:c r="I25" s="3"/>
      <x:c r="J25" s="2"/>
      <x:c r="K25" s="2"/>
      <x:c r="L25" s="2"/>
      <x:c r="M25" s="2"/>
      <x:c r="N25" s="2"/>
      <x:c r="O25" s="2"/>
      <x:c r="P25" s="2"/>
      <x:c r="Q25" s="2"/>
    </x:row>
    <x:row r="26" ht="22" customHeight="1">
      <x:c r="A26" s="2"/>
      <x:c r="B26" s="2"/>
      <x:c r="C26" s="2"/>
      <x:c r="D26" s="3"/>
      <x:c r="E26" s="3"/>
      <x:c r="F26" s="3"/>
      <x:c r="G26" s="3"/>
      <x:c r="H26" s="3"/>
      <x:c r="I26" s="3"/>
      <x:c r="J26" s="2"/>
      <x:c r="K26" s="2"/>
      <x:c r="L26" s="2"/>
      <x:c r="M26" s="2"/>
      <x:c r="N26" s="2"/>
      <x:c r="O26" s="2"/>
      <x:c r="P26" s="2"/>
      <x:c r="Q26" s="2"/>
    </x:row>
    <x:row r="27" ht="22" customHeight="1">
      <x:c r="A27" s="2"/>
      <x:c r="B27" s="2"/>
      <x:c r="C27" s="2"/>
      <x:c r="D27" s="3"/>
      <x:c r="E27" s="3"/>
      <x:c r="F27" s="3"/>
      <x:c r="G27" s="3"/>
      <x:c r="H27" s="3"/>
      <x:c r="I27" s="3"/>
      <x:c r="J27" s="2"/>
      <x:c r="K27" s="2"/>
      <x:c r="L27" s="2"/>
      <x:c r="M27" s="2"/>
      <x:c r="N27" s="2"/>
      <x:c r="O27" s="2"/>
      <x:c r="P27" s="2"/>
      <x:c r="Q27" s="2"/>
    </x:row>
    <x:row r="28" ht="22" customHeight="1">
      <x:c r="A28" s="2"/>
      <x:c r="B28" s="2"/>
      <x:c r="C28" s="2"/>
      <x:c r="D28" s="3"/>
      <x:c r="E28" s="3"/>
      <x:c r="F28" s="3"/>
      <x:c r="G28" s="3"/>
      <x:c r="H28" s="3"/>
      <x:c r="I28" s="3"/>
      <x:c r="J28" s="2"/>
      <x:c r="K28" s="2"/>
      <x:c r="L28" s="2"/>
      <x:c r="M28" s="2"/>
      <x:c r="N28" s="2"/>
      <x:c r="O28" s="2"/>
      <x:c r="P28" s="2"/>
      <x:c r="Q28" s="2"/>
    </x:row>
    <x:row r="29" ht="22" customHeight="1">
      <x:c r="A29" s="2"/>
      <x:c r="B29" s="2"/>
      <x:c r="C29" s="2"/>
      <x:c r="D29" s="3"/>
      <x:c r="E29" s="3"/>
      <x:c r="F29" s="3"/>
      <x:c r="G29" s="3"/>
      <x:c r="H29" s="3"/>
      <x:c r="I29" s="3"/>
      <x:c r="J29" s="2"/>
      <x:c r="K29" s="2"/>
      <x:c r="L29" s="2"/>
      <x:c r="M29" s="2"/>
      <x:c r="N29" s="2"/>
      <x:c r="O29" s="2"/>
      <x:c r="P29" s="2"/>
      <x:c r="Q29" s="2"/>
    </x:row>
    <x:row r="30" ht="22" customHeight="1">
      <x:c r="A30" s="2"/>
      <x:c r="B30" s="2"/>
      <x:c r="C30" s="2"/>
      <x:c r="D30" s="3"/>
      <x:c r="E30" s="3"/>
      <x:c r="F30" s="3"/>
      <x:c r="G30" s="3"/>
      <x:c r="H30" s="3"/>
      <x:c r="I30" s="3"/>
      <x:c r="J30" s="2"/>
      <x:c r="K30" s="2"/>
      <x:c r="L30" s="2"/>
      <x:c r="M30" s="2"/>
      <x:c r="N30" s="2"/>
      <x:c r="O30" s="2"/>
      <x:c r="P30" s="2"/>
      <x:c r="Q30" s="2"/>
    </x:row>
    <x:row r="31" ht="22" customHeight="1">
      <x:c r="A31" s="2"/>
      <x:c r="B31" s="2"/>
      <x:c r="C31" s="2"/>
      <x:c r="D31" s="3"/>
      <x:c r="E31" s="3"/>
      <x:c r="F31" s="3"/>
      <x:c r="G31" s="3"/>
      <x:c r="H31" s="3"/>
      <x:c r="I31" s="3"/>
      <x:c r="J31" s="2"/>
      <x:c r="K31" s="2"/>
      <x:c r="L31" s="2"/>
      <x:c r="M31" s="2"/>
      <x:c r="N31" s="2"/>
      <x:c r="O31" s="2"/>
      <x:c r="P31" s="2"/>
      <x:c r="Q31" s="2"/>
    </x:row>
    <x:row r="32" ht="22" customHeight="1">
      <x:c r="A32" s="2"/>
      <x:c r="B32" s="2"/>
      <x:c r="C32" s="2"/>
      <x:c r="D32" s="3"/>
      <x:c r="E32" s="3"/>
      <x:c r="F32" s="3"/>
      <x:c r="G32" s="3"/>
      <x:c r="H32" s="3"/>
      <x:c r="I32" s="3"/>
      <x:c r="J32" s="2"/>
      <x:c r="K32" s="2"/>
      <x:c r="L32" s="2"/>
      <x:c r="M32" s="2"/>
      <x:c r="N32" s="2"/>
      <x:c r="O32" s="2"/>
      <x:c r="P32" s="2"/>
      <x:c r="Q32" s="2"/>
    </x:row>
    <x:row r="33" ht="22" customHeight="1">
      <x:c r="A33" s="2"/>
      <x:c r="B33" s="2"/>
      <x:c r="C33" s="2"/>
      <x:c r="D33" s="3"/>
      <x:c r="E33" s="3"/>
      <x:c r="F33" s="3"/>
      <x:c r="G33" s="3"/>
      <x:c r="H33" s="3"/>
      <x:c r="I33" s="3"/>
      <x:c r="J33" s="2"/>
      <x:c r="K33" s="2"/>
      <x:c r="L33" s="2"/>
      <x:c r="M33" s="2"/>
      <x:c r="N33" s="2"/>
      <x:c r="O33" s="2"/>
      <x:c r="P33" s="2"/>
      <x:c r="Q33" s="2"/>
    </x:row>
    <x:row r="34" ht="22" customHeight="1">
      <x:c r="A34" s="2"/>
      <x:c r="B34" s="2"/>
      <x:c r="C34" s="2"/>
      <x:c r="D34" s="3"/>
      <x:c r="E34" s="3"/>
      <x:c r="F34" s="3"/>
      <x:c r="G34" s="3"/>
      <x:c r="H34" s="3"/>
      <x:c r="I34" s="3"/>
      <x:c r="J34" s="2"/>
      <x:c r="K34" s="2"/>
      <x:c r="L34" s="2"/>
      <x:c r="M34" s="2"/>
      <x:c r="N34" s="2"/>
      <x:c r="O34" s="2"/>
      <x:c r="P34" s="2"/>
      <x:c r="Q34" s="2"/>
    </x:row>
    <x:row r="35" ht="22" customHeight="1">
      <x:c r="A35" s="2"/>
      <x:c r="B35" s="2"/>
      <x:c r="C35" s="2"/>
      <x:c r="D35" s="3"/>
      <x:c r="E35" s="3"/>
      <x:c r="F35" s="3"/>
      <x:c r="G35" s="3"/>
      <x:c r="H35" s="3"/>
      <x:c r="I35" s="3"/>
      <x:c r="J35" s="2"/>
      <x:c r="K35" s="2"/>
      <x:c r="L35" s="2"/>
      <x:c r="M35" s="2"/>
      <x:c r="N35" s="2"/>
      <x:c r="O35" s="2"/>
      <x:c r="P35" s="2"/>
      <x:c r="Q35" s="2"/>
    </x:row>
    <x:row r="36" ht="22" customHeight="1">
      <x:c r="A36" s="2"/>
      <x:c r="B36" s="2"/>
      <x:c r="C36" s="2"/>
      <x:c r="D36" s="3"/>
      <x:c r="E36" s="3"/>
      <x:c r="F36" s="3"/>
      <x:c r="G36" s="3"/>
      <x:c r="H36" s="3"/>
      <x:c r="I36" s="3"/>
      <x:c r="J36" s="2"/>
      <x:c r="K36" s="2"/>
      <x:c r="L36" s="2"/>
      <x:c r="M36" s="2"/>
      <x:c r="N36" s="2"/>
      <x:c r="O36" s="2"/>
      <x:c r="P36" s="2"/>
      <x:c r="Q36" s="2"/>
    </x:row>
    <x:row r="37" ht="22" customHeight="1">
      <x:c r="A37" s="2"/>
      <x:c r="B37" s="2"/>
      <x:c r="C37" s="2"/>
      <x:c r="D37" s="3"/>
      <x:c r="E37" s="3"/>
      <x:c r="F37" s="3"/>
      <x:c r="G37" s="3"/>
      <x:c r="H37" s="3"/>
      <x:c r="I37" s="3"/>
      <x:c r="J37" s="2"/>
      <x:c r="K37" s="2"/>
      <x:c r="L37" s="2"/>
      <x:c r="M37" s="2"/>
      <x:c r="N37" s="2"/>
      <x:c r="O37" s="2"/>
      <x:c r="P37" s="2"/>
      <x:c r="Q37" s="2"/>
    </x:row>
    <x:row r="38" ht="22" customHeight="1">
      <x:c r="A38" s="2"/>
      <x:c r="B38" s="2"/>
      <x:c r="C38" s="2"/>
      <x:c r="D38" s="3"/>
      <x:c r="E38" s="3"/>
      <x:c r="F38" s="3"/>
      <x:c r="G38" s="3"/>
      <x:c r="H38" s="3"/>
      <x:c r="I38" s="3"/>
      <x:c r="J38" s="2"/>
      <x:c r="K38" s="2"/>
      <x:c r="L38" s="2"/>
      <x:c r="M38" s="2"/>
      <x:c r="N38" s="2"/>
      <x:c r="O38" s="2"/>
      <x:c r="P38" s="2"/>
      <x:c r="Q38" s="2"/>
    </x:row>
    <x:row r="39" ht="22" customHeight="1">
      <x:c r="A39" s="2"/>
      <x:c r="B39" s="2"/>
      <x:c r="C39" s="2"/>
      <x:c r="D39" s="3"/>
      <x:c r="E39" s="3"/>
      <x:c r="F39" s="3"/>
      <x:c r="G39" s="3"/>
      <x:c r="H39" s="3"/>
      <x:c r="I39" s="3"/>
      <x:c r="J39" s="2"/>
      <x:c r="K39" s="2"/>
      <x:c r="L39" s="2"/>
      <x:c r="M39" s="2"/>
      <x:c r="N39" s="2"/>
      <x:c r="O39" s="2"/>
      <x:c r="P39" s="2"/>
      <x:c r="Q39" s="2"/>
    </x:row>
    <x:row r="40" ht="22" customHeight="1">
      <x:c r="A40" s="2"/>
      <x:c r="B40" s="2"/>
      <x:c r="C40" s="2"/>
      <x:c r="D40" s="3"/>
      <x:c r="E40" s="3"/>
      <x:c r="F40" s="3"/>
      <x:c r="G40" s="3"/>
      <x:c r="H40" s="3"/>
      <x:c r="I40" s="3"/>
      <x:c r="J40" s="2"/>
      <x:c r="K40" s="2"/>
      <x:c r="L40" s="2"/>
      <x:c r="M40" s="2"/>
      <x:c r="N40" s="2"/>
      <x:c r="O40" s="2"/>
      <x:c r="P40" s="2"/>
      <x:c r="Q40" s="2"/>
    </x:row>
    <x:row r="41" ht="22" customHeight="1">
      <x:c r="A41" s="2"/>
      <x:c r="B41" s="2"/>
      <x:c r="C41" s="2"/>
      <x:c r="D41" s="3"/>
      <x:c r="E41" s="3"/>
      <x:c r="F41" s="3"/>
      <x:c r="G41" s="3"/>
      <x:c r="H41" s="3"/>
      <x:c r="I41" s="3"/>
      <x:c r="J41" s="2"/>
      <x:c r="K41" s="2"/>
      <x:c r="L41" s="2"/>
      <x:c r="M41" s="2"/>
      <x:c r="N41" s="2"/>
      <x:c r="O41" s="2"/>
      <x:c r="P41" s="2"/>
      <x:c r="Q41" s="2"/>
    </x:row>
    <x:row r="42" ht="22" customHeight="1">
      <x:c r="A42" s="2"/>
      <x:c r="B42" s="2"/>
      <x:c r="C42" s="2"/>
      <x:c r="D42" s="3"/>
      <x:c r="E42" s="3"/>
      <x:c r="F42" s="3"/>
      <x:c r="G42" s="3"/>
      <x:c r="H42" s="3"/>
      <x:c r="I42" s="3"/>
      <x:c r="J42" s="2"/>
      <x:c r="K42" s="2"/>
      <x:c r="L42" s="2"/>
      <x:c r="M42" s="2"/>
      <x:c r="N42" s="2"/>
      <x:c r="O42" s="2"/>
      <x:c r="P42" s="2"/>
      <x:c r="Q42" s="2"/>
    </x:row>
    <x:row r="43" ht="22" customHeight="1">
      <x:c r="A43" s="2"/>
      <x:c r="B43" s="2"/>
      <x:c r="C43" s="2"/>
      <x:c r="D43" s="3"/>
      <x:c r="E43" s="3"/>
      <x:c r="F43" s="3"/>
      <x:c r="G43" s="3"/>
      <x:c r="H43" s="3"/>
      <x:c r="I43" s="3"/>
      <x:c r="J43" s="2"/>
      <x:c r="K43" s="2"/>
      <x:c r="L43" s="2"/>
      <x:c r="M43" s="2"/>
      <x:c r="N43" s="2"/>
      <x:c r="O43" s="2"/>
      <x:c r="P43" s="2"/>
      <x:c r="Q43" s="2"/>
    </x:row>
    <x:row r="44" ht="22" customHeight="1">
      <x:c r="A44" s="2"/>
      <x:c r="B44" s="2"/>
      <x:c r="C44" s="2"/>
      <x:c r="D44" s="3"/>
      <x:c r="E44" s="3"/>
      <x:c r="F44" s="3"/>
      <x:c r="G44" s="3"/>
      <x:c r="H44" s="3"/>
      <x:c r="I44" s="3"/>
      <x:c r="J44" s="2"/>
      <x:c r="K44" s="2"/>
      <x:c r="L44" s="2"/>
      <x:c r="M44" s="2"/>
      <x:c r="N44" s="2"/>
      <x:c r="O44" s="2"/>
      <x:c r="P44" s="2"/>
      <x:c r="Q44" s="2"/>
    </x:row>
    <x:row r="45" ht="22" customHeight="1">
      <x:c r="A45" s="2"/>
      <x:c r="B45" s="2"/>
      <x:c r="C45" s="2"/>
      <x:c r="D45" s="3"/>
      <x:c r="E45" s="3"/>
      <x:c r="F45" s="3"/>
      <x:c r="G45" s="3"/>
      <x:c r="H45" s="3"/>
      <x:c r="I45" s="3"/>
      <x:c r="J45" s="2"/>
      <x:c r="K45" s="2"/>
      <x:c r="L45" s="2"/>
      <x:c r="M45" s="2"/>
      <x:c r="N45" s="2"/>
      <x:c r="O45" s="2"/>
      <x:c r="P45" s="2"/>
      <x:c r="Q45" s="2"/>
    </x:row>
    <x:row r="46" ht="22" customHeight="1">
      <x:c r="A46" s="2"/>
      <x:c r="B46" s="2"/>
      <x:c r="C46" s="2"/>
      <x:c r="D46" s="3"/>
      <x:c r="E46" s="3"/>
      <x:c r="F46" s="3"/>
      <x:c r="G46" s="3"/>
      <x:c r="H46" s="3"/>
      <x:c r="I46" s="3"/>
      <x:c r="J46" s="2"/>
      <x:c r="K46" s="2"/>
      <x:c r="L46" s="2"/>
      <x:c r="M46" s="2"/>
      <x:c r="N46" s="2"/>
      <x:c r="O46" s="2"/>
      <x:c r="P46" s="2"/>
      <x:c r="Q46" s="2"/>
    </x:row>
    <x:row r="47" ht="22" customHeight="1">
      <x:c r="A47" s="2"/>
      <x:c r="B47" s="2"/>
      <x:c r="C47" s="2"/>
      <x:c r="D47" s="3"/>
      <x:c r="E47" s="3"/>
      <x:c r="F47" s="3"/>
      <x:c r="G47" s="3"/>
      <x:c r="H47" s="3"/>
      <x:c r="I47" s="3"/>
      <x:c r="J47" s="2"/>
      <x:c r="K47" s="2"/>
      <x:c r="L47" s="2"/>
      <x:c r="M47" s="2"/>
      <x:c r="N47" s="2"/>
      <x:c r="O47" s="2"/>
      <x:c r="P47" s="2"/>
      <x:c r="Q47" s="2"/>
    </x:row>
    <x:row r="48" ht="22" customHeight="1">
      <x:c r="A48" s="2"/>
      <x:c r="B48" s="2"/>
      <x:c r="C48" s="2"/>
      <x:c r="D48" s="3"/>
      <x:c r="E48" s="3"/>
      <x:c r="F48" s="3"/>
      <x:c r="G48" s="3"/>
      <x:c r="H48" s="3"/>
      <x:c r="I48" s="3"/>
      <x:c r="J48" s="2"/>
      <x:c r="K48" s="2"/>
      <x:c r="L48" s="2"/>
      <x:c r="M48" s="2"/>
      <x:c r="N48" s="2"/>
      <x:c r="O48" s="2"/>
      <x:c r="P48" s="2"/>
      <x:c r="Q48" s="2"/>
    </x:row>
    <x:row r="49" ht="22" customHeight="1">
      <x:c r="A49" s="2"/>
      <x:c r="B49" s="2"/>
      <x:c r="C49" s="2"/>
      <x:c r="D49" s="3"/>
      <x:c r="E49" s="3"/>
      <x:c r="F49" s="3"/>
      <x:c r="G49" s="3"/>
      <x:c r="H49" s="3"/>
      <x:c r="I49" s="3"/>
      <x:c r="J49" s="2"/>
      <x:c r="K49" s="2"/>
      <x:c r="L49" s="2"/>
      <x:c r="M49" s="2"/>
      <x:c r="N49" s="2"/>
      <x:c r="O49" s="2"/>
      <x:c r="P49" s="2"/>
      <x:c r="Q49" s="2"/>
    </x:row>
    <x:row r="50" ht="22" customHeight="1">
      <x:c r="A50" s="2"/>
      <x:c r="B50" s="2"/>
      <x:c r="C50" s="2"/>
      <x:c r="D50" s="3"/>
      <x:c r="E50" s="3"/>
      <x:c r="F50" s="3"/>
      <x:c r="G50" s="3"/>
      <x:c r="H50" s="3"/>
      <x:c r="I50" s="3"/>
      <x:c r="J50" s="2"/>
      <x:c r="K50" s="2"/>
      <x:c r="L50" s="2"/>
      <x:c r="M50" s="2"/>
      <x:c r="N50" s="2"/>
      <x:c r="O50" s="2"/>
      <x:c r="P50" s="2"/>
      <x:c r="Q50" s="2"/>
    </x:row>
    <x:row r="51" ht="22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2"/>
      <x:c r="K51" s="2"/>
      <x:c r="L51" s="2"/>
      <x:c r="M51" s="2"/>
      <x:c r="N51" s="2"/>
      <x:c r="O51" s="2"/>
      <x:c r="P51" s="2"/>
      <x:c r="Q51" s="2"/>
    </x:row>
    <x:row r="52" ht="22" customHeight="1">
      <x:c r="A52" s="2"/>
      <x:c r="B52" s="2"/>
      <x:c r="C52" s="2"/>
      <x:c r="D52" s="3"/>
      <x:c r="E52" s="3"/>
      <x:c r="F52" s="3"/>
      <x:c r="G52" s="3"/>
      <x:c r="H52" s="3"/>
      <x:c r="I52" s="3"/>
      <x:c r="J52" s="2"/>
      <x:c r="K52" s="2"/>
      <x:c r="L52" s="2"/>
      <x:c r="M52" s="2"/>
      <x:c r="N52" s="2"/>
      <x:c r="O52" s="2"/>
      <x:c r="P52" s="2"/>
      <x:c r="Q52" s="2"/>
    </x:row>
    <x:row r="53" ht="22" customHeight="1">
      <x:c r="A53" s="2"/>
      <x:c r="B53" s="2"/>
      <x:c r="C53" s="2"/>
      <x:c r="D53" s="3"/>
      <x:c r="E53" s="3"/>
      <x:c r="F53" s="3"/>
      <x:c r="G53" s="3"/>
      <x:c r="H53" s="3"/>
      <x:c r="I53" s="3"/>
      <x:c r="J53" s="2"/>
      <x:c r="K53" s="2"/>
      <x:c r="L53" s="2"/>
      <x:c r="M53" s="2"/>
      <x:c r="N53" s="2"/>
      <x:c r="O53" s="2"/>
      <x:c r="P53" s="2"/>
      <x:c r="Q53" s="2"/>
    </x:row>
    <x:row r="54" ht="22" customHeight="1">
      <x:c r="A54" s="2"/>
      <x:c r="B54" s="2"/>
      <x:c r="C54" s="2"/>
      <x:c r="D54" s="3"/>
      <x:c r="E54" s="3"/>
      <x:c r="F54" s="3"/>
      <x:c r="G54" s="3"/>
      <x:c r="H54" s="3"/>
      <x:c r="I54" s="3"/>
      <x:c r="J54" s="2"/>
      <x:c r="K54" s="2"/>
      <x:c r="L54" s="2"/>
      <x:c r="M54" s="2"/>
      <x:c r="N54" s="2"/>
      <x:c r="O54" s="2"/>
      <x:c r="P54" s="2"/>
      <x:c r="Q54" s="2"/>
    </x:row>
    <x:row r="55" ht="22" customHeight="1">
      <x:c r="A55" s="2"/>
      <x:c r="B55" s="2"/>
      <x:c r="C55" s="2"/>
      <x:c r="D55" s="3"/>
      <x:c r="E55" s="3"/>
      <x:c r="F55" s="3"/>
      <x:c r="G55" s="3"/>
      <x:c r="H55" s="3"/>
      <x:c r="I55" s="3"/>
      <x:c r="J55" s="2"/>
      <x:c r="K55" s="2"/>
      <x:c r="L55" s="2"/>
      <x:c r="M55" s="2"/>
      <x:c r="N55" s="2"/>
      <x:c r="O55" s="2"/>
      <x:c r="P55" s="2"/>
      <x:c r="Q55" s="2"/>
    </x:row>
    <x:row r="56" ht="22" customHeight="1">
      <x:c r="A56" s="2"/>
      <x:c r="B56" s="2"/>
      <x:c r="C56" s="2"/>
      <x:c r="D56" s="3"/>
      <x:c r="E56" s="3"/>
      <x:c r="F56" s="3"/>
      <x:c r="G56" s="3"/>
      <x:c r="H56" s="3"/>
      <x:c r="I56" s="3"/>
      <x:c r="J56" s="2"/>
      <x:c r="K56" s="2"/>
      <x:c r="L56" s="2"/>
      <x:c r="M56" s="2"/>
      <x:c r="N56" s="2"/>
      <x:c r="O56" s="2"/>
      <x:c r="P56" s="2"/>
      <x:c r="Q56" s="2"/>
    </x:row>
    <x:row r="57" ht="22" customHeight="1">
      <x:c r="A57" s="2"/>
      <x:c r="B57" s="2"/>
      <x:c r="C57" s="2"/>
      <x:c r="D57" s="3"/>
      <x:c r="E57" s="3"/>
      <x:c r="F57" s="3"/>
      <x:c r="G57" s="3"/>
      <x:c r="H57" s="3"/>
      <x:c r="I57" s="3"/>
      <x:c r="J57" s="2"/>
      <x:c r="K57" s="2"/>
      <x:c r="L57" s="2"/>
      <x:c r="M57" s="2"/>
      <x:c r="N57" s="2"/>
      <x:c r="O57" s="2"/>
      <x:c r="P57" s="2"/>
      <x:c r="Q57" s="2"/>
    </x:row>
    <x:row r="58" ht="22" customHeight="1">
      <x:c r="A58" s="2"/>
      <x:c r="B58" s="2"/>
      <x:c r="C58" s="2"/>
      <x:c r="D58" s="3"/>
      <x:c r="E58" s="3"/>
      <x:c r="F58" s="3"/>
      <x:c r="G58" s="3"/>
      <x:c r="H58" s="3"/>
      <x:c r="I58" s="3"/>
      <x:c r="J58" s="2"/>
      <x:c r="K58" s="2"/>
      <x:c r="L58" s="2"/>
      <x:c r="M58" s="2"/>
      <x:c r="N58" s="2"/>
      <x:c r="O58" s="2"/>
      <x:c r="P58" s="2"/>
      <x:c r="Q58" s="2"/>
    </x:row>
    <x:row r="59" ht="22" customHeight="1">
      <x:c r="A59" s="2"/>
      <x:c r="B59" s="2"/>
      <x:c r="C59" s="2"/>
      <x:c r="D59" s="3"/>
      <x:c r="E59" s="3"/>
      <x:c r="F59" s="3"/>
      <x:c r="G59" s="3"/>
      <x:c r="H59" s="3"/>
      <x:c r="I59" s="3"/>
      <x:c r="J59" s="2"/>
      <x:c r="K59" s="2"/>
      <x:c r="L59" s="2"/>
      <x:c r="M59" s="2"/>
      <x:c r="N59" s="2"/>
      <x:c r="O59" s="2"/>
      <x:c r="P59" s="2"/>
      <x:c r="Q59" s="2"/>
    </x:row>
    <x:row r="60" ht="22" customHeight="1">
      <x:c r="A60" s="2"/>
      <x:c r="B60" s="2"/>
      <x:c r="C60" s="2"/>
      <x:c r="D60" s="3"/>
      <x:c r="E60" s="3"/>
      <x:c r="F60" s="3"/>
      <x:c r="G60" s="3"/>
      <x:c r="H60" s="3"/>
      <x:c r="I60" s="3"/>
      <x:c r="J60" s="2"/>
      <x:c r="K60" s="2"/>
      <x:c r="L60" s="2"/>
      <x:c r="M60" s="2"/>
      <x:c r="N60" s="2"/>
      <x:c r="O60" s="2"/>
      <x:c r="P60" s="2"/>
      <x:c r="Q60" s="2"/>
    </x:row>
    <x:row r="61" ht="22" customHeight="1">
      <x:c r="A61" s="2"/>
      <x:c r="B61" s="2"/>
      <x:c r="C61" s="2"/>
      <x:c r="D61" s="3"/>
      <x:c r="E61" s="3"/>
      <x:c r="F61" s="3"/>
      <x:c r="G61" s="3"/>
      <x:c r="H61" s="3"/>
      <x:c r="I61" s="3"/>
      <x:c r="J61" s="2"/>
      <x:c r="K61" s="2"/>
      <x:c r="L61" s="2"/>
      <x:c r="M61" s="2"/>
      <x:c r="N61" s="2"/>
      <x:c r="O61" s="2"/>
      <x:c r="P61" s="2"/>
      <x:c r="Q61" s="2"/>
    </x:row>
    <x:row r="62" ht="22" customHeight="1">
      <x:c r="A62" s="2"/>
      <x:c r="B62" s="2"/>
      <x:c r="C62" s="2"/>
      <x:c r="D62" s="3"/>
      <x:c r="E62" s="3"/>
      <x:c r="F62" s="3"/>
      <x:c r="G62" s="3"/>
      <x:c r="H62" s="3"/>
      <x:c r="I62" s="3"/>
      <x:c r="J62" s="2"/>
      <x:c r="K62" s="2"/>
      <x:c r="L62" s="2"/>
      <x:c r="M62" s="2"/>
      <x:c r="N62" s="2"/>
      <x:c r="O62" s="2"/>
      <x:c r="P62" s="2"/>
      <x:c r="Q62" s="2"/>
    </x:row>
    <x:row r="63" ht="22" customHeight="1">
      <x:c r="A63" s="2"/>
      <x:c r="B63" s="2"/>
      <x:c r="C63" s="2"/>
      <x:c r="D63" s="3"/>
      <x:c r="E63" s="3"/>
      <x:c r="F63" s="3"/>
      <x:c r="G63" s="3"/>
      <x:c r="H63" s="3"/>
      <x:c r="I63" s="3"/>
      <x:c r="J63" s="2"/>
      <x:c r="K63" s="2"/>
      <x:c r="L63" s="2"/>
      <x:c r="M63" s="2"/>
      <x:c r="N63" s="2"/>
      <x:c r="O63" s="2"/>
      <x:c r="P63" s="2"/>
      <x:c r="Q63" s="2"/>
    </x:row>
    <x:row r="64" ht="22" customHeight="1">
      <x:c r="A64" s="2"/>
      <x:c r="B64" s="2"/>
      <x:c r="C64" s="2"/>
      <x:c r="D64" s="3"/>
      <x:c r="E64" s="3"/>
      <x:c r="F64" s="3"/>
      <x:c r="G64" s="3"/>
      <x:c r="H64" s="3"/>
      <x:c r="I64" s="3"/>
      <x:c r="J64" s="2"/>
      <x:c r="K64" s="2"/>
      <x:c r="L64" s="2"/>
      <x:c r="M64" s="2"/>
      <x:c r="N64" s="2"/>
      <x:c r="O64" s="2"/>
      <x:c r="P64" s="2"/>
      <x:c r="Q64" s="2"/>
    </x:row>
    <x:row r="65" ht="22" customHeight="1">
      <x:c r="A65" s="2"/>
      <x:c r="B65" s="2"/>
      <x:c r="C65" s="2"/>
      <x:c r="D65" s="3"/>
      <x:c r="E65" s="3"/>
      <x:c r="F65" s="3"/>
      <x:c r="G65" s="3"/>
      <x:c r="H65" s="3"/>
      <x:c r="I65" s="3"/>
      <x:c r="J65" s="2"/>
      <x:c r="K65" s="2"/>
      <x:c r="L65" s="2"/>
      <x:c r="M65" s="2"/>
      <x:c r="N65" s="2"/>
      <x:c r="O65" s="2"/>
      <x:c r="P65" s="2"/>
      <x:c r="Q65" s="2"/>
    </x:row>
    <x:row r="66" ht="22" customHeight="1">
      <x:c r="A66" s="2"/>
      <x:c r="B66" s="2"/>
      <x:c r="C66" s="2"/>
      <x:c r="D66" s="3"/>
      <x:c r="E66" s="3"/>
      <x:c r="F66" s="3"/>
      <x:c r="G66" s="3"/>
      <x:c r="H66" s="3"/>
      <x:c r="I66" s="3"/>
      <x:c r="J66" s="2"/>
      <x:c r="K66" s="2"/>
      <x:c r="L66" s="2"/>
      <x:c r="M66" s="2"/>
      <x:c r="N66" s="2"/>
      <x:c r="O66" s="2"/>
      <x:c r="P66" s="2"/>
      <x:c r="Q66" s="2"/>
    </x:row>
    <x:row r="67" ht="22" customHeight="1">
      <x:c r="A67" s="2"/>
      <x:c r="B67" s="2"/>
      <x:c r="C67" s="2"/>
      <x:c r="D67" s="3"/>
      <x:c r="E67" s="3"/>
      <x:c r="F67" s="3"/>
      <x:c r="G67" s="3"/>
      <x:c r="H67" s="3"/>
      <x:c r="I67" s="3"/>
      <x:c r="J67" s="2"/>
      <x:c r="K67" s="2"/>
      <x:c r="L67" s="2"/>
      <x:c r="M67" s="2"/>
      <x:c r="N67" s="2"/>
      <x:c r="O67" s="2"/>
      <x:c r="P67" s="2"/>
      <x:c r="Q67" s="2"/>
    </x:row>
    <x:row r="68" ht="22" customHeight="1">
      <x:c r="A68" s="2"/>
      <x:c r="B68" s="2"/>
      <x:c r="C68" s="2"/>
      <x:c r="D68" s="3"/>
      <x:c r="E68" s="3"/>
      <x:c r="F68" s="3"/>
      <x:c r="G68" s="3"/>
      <x:c r="H68" s="3"/>
      <x:c r="I68" s="3"/>
      <x:c r="J68" s="2"/>
      <x:c r="K68" s="2"/>
      <x:c r="L68" s="2"/>
      <x:c r="M68" s="2"/>
      <x:c r="N68" s="2"/>
      <x:c r="O68" s="2"/>
      <x:c r="P68" s="2"/>
      <x:c r="Q68" s="2"/>
    </x:row>
    <x:row r="69" ht="22" customHeight="1">
      <x:c r="A69" s="2"/>
      <x:c r="B69" s="2"/>
      <x:c r="C69" s="2"/>
      <x:c r="D69" s="3"/>
      <x:c r="E69" s="3"/>
      <x:c r="F69" s="3"/>
      <x:c r="G69" s="3"/>
      <x:c r="H69" s="3"/>
      <x:c r="I69" s="3"/>
      <x:c r="J69" s="2"/>
      <x:c r="K69" s="2"/>
      <x:c r="L69" s="2"/>
      <x:c r="M69" s="2"/>
      <x:c r="N69" s="2"/>
      <x:c r="O69" s="2"/>
      <x:c r="P69" s="2"/>
      <x:c r="Q69" s="2"/>
    </x:row>
    <x:row r="70" ht="22" customHeight="1">
      <x:c r="A70" s="2"/>
      <x:c r="B70" s="2"/>
      <x:c r="C70" s="2"/>
      <x:c r="D70" s="3"/>
      <x:c r="E70" s="3"/>
      <x:c r="F70" s="3"/>
      <x:c r="G70" s="3"/>
      <x:c r="H70" s="3"/>
      <x:c r="I70" s="3"/>
      <x:c r="J70" s="2"/>
      <x:c r="K70" s="2"/>
      <x:c r="L70" s="2"/>
      <x:c r="M70" s="2"/>
      <x:c r="N70" s="2"/>
      <x:c r="O70" s="2"/>
      <x:c r="P70" s="2"/>
      <x:c r="Q70" s="2"/>
    </x:row>
    <x:row r="71" ht="22" customHeight="1">
      <x:c r="A71" s="2"/>
      <x:c r="B71" s="2"/>
      <x:c r="C71" s="2"/>
      <x:c r="D71" s="3"/>
      <x:c r="E71" s="3"/>
      <x:c r="F71" s="3"/>
      <x:c r="G71" s="3"/>
      <x:c r="H71" s="3"/>
      <x:c r="I71" s="3"/>
      <x:c r="J71" s="2"/>
      <x:c r="K71" s="2"/>
      <x:c r="L71" s="2"/>
      <x:c r="M71" s="2"/>
      <x:c r="N71" s="2"/>
      <x:c r="O71" s="2"/>
      <x:c r="P71" s="2"/>
      <x:c r="Q71" s="2"/>
    </x:row>
    <x:row r="72" ht="22" customHeight="1">
      <x:c r="A72" s="2"/>
      <x:c r="B72" s="2"/>
      <x:c r="C72" s="2"/>
      <x:c r="D72" s="3"/>
      <x:c r="E72" s="3"/>
      <x:c r="F72" s="3"/>
      <x:c r="G72" s="3"/>
      <x:c r="H72" s="3"/>
      <x:c r="I72" s="3"/>
      <x:c r="J72" s="2"/>
      <x:c r="K72" s="2"/>
      <x:c r="L72" s="2"/>
      <x:c r="M72" s="2"/>
      <x:c r="N72" s="2"/>
      <x:c r="O72" s="2"/>
      <x:c r="P72" s="2"/>
      <x:c r="Q72" s="2"/>
    </x:row>
    <x:row r="73" ht="22" customHeight="1">
      <x:c r="A73" s="2"/>
      <x:c r="B73" s="2"/>
      <x:c r="C73" s="2"/>
      <x:c r="D73" s="3"/>
      <x:c r="E73" s="3"/>
      <x:c r="F73" s="3"/>
      <x:c r="G73" s="3"/>
      <x:c r="H73" s="3"/>
      <x:c r="I73" s="3"/>
      <x:c r="J73" s="2"/>
      <x:c r="K73" s="2"/>
      <x:c r="L73" s="2"/>
      <x:c r="M73" s="2"/>
      <x:c r="N73" s="2"/>
      <x:c r="O73" s="2"/>
      <x:c r="P73" s="2"/>
      <x:c r="Q73" s="2"/>
    </x:row>
    <x:row r="74" ht="22" customHeight="1">
      <x:c r="A74" s="2"/>
      <x:c r="B74" s="2"/>
      <x:c r="C74" s="2"/>
      <x:c r="D74" s="3"/>
      <x:c r="E74" s="3"/>
      <x:c r="F74" s="3"/>
      <x:c r="G74" s="3"/>
      <x:c r="H74" s="3"/>
      <x:c r="I74" s="3"/>
      <x:c r="J74" s="2"/>
      <x:c r="K74" s="2"/>
      <x:c r="L74" s="2"/>
      <x:c r="M74" s="2"/>
      <x:c r="N74" s="2"/>
      <x:c r="O74" s="2"/>
      <x:c r="P74" s="2"/>
      <x:c r="Q74" s="2"/>
    </x:row>
    <x:row r="75" ht="22" customHeight="1">
      <x:c r="A75" s="2"/>
      <x:c r="B75" s="2"/>
      <x:c r="C75" s="2"/>
      <x:c r="D75" s="3"/>
      <x:c r="E75" s="3"/>
      <x:c r="F75" s="3"/>
      <x:c r="G75" s="3"/>
      <x:c r="H75" s="3"/>
      <x:c r="I75" s="3"/>
      <x:c r="J75" s="2"/>
      <x:c r="K75" s="2"/>
      <x:c r="L75" s="2"/>
      <x:c r="M75" s="2"/>
      <x:c r="N75" s="2"/>
      <x:c r="O75" s="2"/>
      <x:c r="P75" s="2"/>
      <x:c r="Q75" s="2"/>
    </x:row>
    <x:row r="76" ht="22" customHeight="1">
      <x:c r="A76" s="2"/>
      <x:c r="B76" s="2"/>
      <x:c r="C76" s="2"/>
      <x:c r="D76" s="3"/>
      <x:c r="E76" s="3"/>
      <x:c r="F76" s="3"/>
      <x:c r="G76" s="3"/>
      <x:c r="H76" s="3"/>
      <x:c r="I76" s="3"/>
      <x:c r="J76" s="2"/>
      <x:c r="K76" s="2"/>
      <x:c r="L76" s="2"/>
      <x:c r="M76" s="2"/>
      <x:c r="N76" s="2"/>
      <x:c r="O76" s="2"/>
      <x:c r="P76" s="2"/>
      <x:c r="Q76" s="2"/>
    </x:row>
    <x:row r="77" ht="22" customHeight="1">
      <x:c r="A77" s="2"/>
      <x:c r="B77" s="2"/>
      <x:c r="C77" s="2"/>
      <x:c r="D77" s="3"/>
      <x:c r="E77" s="3"/>
      <x:c r="F77" s="3"/>
      <x:c r="G77" s="3"/>
      <x:c r="H77" s="3"/>
      <x:c r="I77" s="3"/>
      <x:c r="J77" s="2"/>
      <x:c r="K77" s="2"/>
      <x:c r="L77" s="2"/>
      <x:c r="M77" s="2"/>
      <x:c r="N77" s="2"/>
      <x:c r="O77" s="2"/>
      <x:c r="P77" s="2"/>
      <x:c r="Q77" s="2"/>
    </x:row>
    <x:row r="78" ht="22" customHeight="1">
      <x:c r="A78" s="2"/>
      <x:c r="B78" s="2"/>
      <x:c r="C78" s="2"/>
      <x:c r="D78" s="3"/>
      <x:c r="E78" s="3"/>
      <x:c r="F78" s="3"/>
      <x:c r="G78" s="3"/>
      <x:c r="H78" s="3"/>
      <x:c r="I78" s="3"/>
      <x:c r="J78" s="2"/>
      <x:c r="K78" s="2"/>
      <x:c r="L78" s="2"/>
      <x:c r="M78" s="2"/>
      <x:c r="N78" s="2"/>
      <x:c r="O78" s="2"/>
      <x:c r="P78" s="2"/>
      <x:c r="Q78" s="2"/>
    </x:row>
    <x:row r="79" ht="22" customHeight="1">
      <x:c r="A79" s="2"/>
      <x:c r="B79" s="2"/>
      <x:c r="C79" s="2"/>
      <x:c r="D79" s="3"/>
      <x:c r="E79" s="3"/>
      <x:c r="F79" s="3"/>
      <x:c r="G79" s="3"/>
      <x:c r="H79" s="3"/>
      <x:c r="I79" s="3"/>
      <x:c r="J79" s="2"/>
      <x:c r="K79" s="2"/>
      <x:c r="L79" s="2"/>
      <x:c r="M79" s="2"/>
      <x:c r="N79" s="2"/>
      <x:c r="O79" s="2"/>
      <x:c r="P79" s="2"/>
      <x:c r="Q79" s="2"/>
    </x:row>
    <x:row r="80" ht="22" customHeight="1">
      <x:c r="A80" s="2"/>
      <x:c r="B80" s="2"/>
      <x:c r="C80" s="2"/>
      <x:c r="D80" s="3"/>
      <x:c r="E80" s="3"/>
      <x:c r="F80" s="3"/>
      <x:c r="G80" s="3"/>
      <x:c r="H80" s="3"/>
      <x:c r="I80" s="3"/>
      <x:c r="J80" s="2"/>
      <x:c r="K80" s="2"/>
      <x:c r="L80" s="2"/>
      <x:c r="M80" s="2"/>
      <x:c r="N80" s="2"/>
      <x:c r="O80" s="2"/>
      <x:c r="P80" s="2"/>
      <x:c r="Q80" s="2"/>
    </x:row>
    <x:row r="81" ht="22" customHeight="1">
      <x:c r="A81" s="2"/>
      <x:c r="B81" s="2"/>
      <x:c r="C81" s="2"/>
      <x:c r="D81" s="3"/>
      <x:c r="E81" s="3"/>
      <x:c r="F81" s="3"/>
      <x:c r="G81" s="3"/>
      <x:c r="H81" s="3"/>
      <x:c r="I81" s="3"/>
      <x:c r="J81" s="2"/>
      <x:c r="K81" s="2"/>
      <x:c r="L81" s="2"/>
      <x:c r="M81" s="2"/>
      <x:c r="N81" s="2"/>
      <x:c r="O81" s="2"/>
      <x:c r="P81" s="2"/>
      <x:c r="Q81" s="2"/>
    </x:row>
    <x:row r="82" ht="22" customHeight="1">
      <x:c r="A82" s="2"/>
      <x:c r="B82" s="2"/>
      <x:c r="C82" s="2"/>
      <x:c r="D82" s="3"/>
      <x:c r="E82" s="3"/>
      <x:c r="F82" s="3"/>
      <x:c r="G82" s="3"/>
      <x:c r="H82" s="3"/>
      <x:c r="I82" s="3"/>
      <x:c r="J82" s="2"/>
      <x:c r="K82" s="2"/>
      <x:c r="L82" s="2"/>
      <x:c r="M82" s="2"/>
      <x:c r="N82" s="2"/>
      <x:c r="O82" s="2"/>
      <x:c r="P82" s="2"/>
      <x:c r="Q82" s="2"/>
    </x:row>
    <x:row r="83" ht="22" customHeight="1">
      <x:c r="A83" s="2"/>
      <x:c r="B83" s="2"/>
      <x:c r="C83" s="2"/>
      <x:c r="D83" s="3"/>
      <x:c r="E83" s="3"/>
      <x:c r="F83" s="3"/>
      <x:c r="G83" s="3"/>
      <x:c r="H83" s="3"/>
      <x:c r="I83" s="3"/>
      <x:c r="J83" s="2"/>
      <x:c r="K83" s="2"/>
      <x:c r="L83" s="2"/>
      <x:c r="M83" s="2"/>
      <x:c r="N83" s="2"/>
      <x:c r="O83" s="2"/>
      <x:c r="P83" s="2"/>
      <x:c r="Q83" s="2"/>
    </x:row>
    <x:row r="84" ht="22" customHeight="1">
      <x:c r="A84" s="2"/>
      <x:c r="B84" s="2"/>
      <x:c r="C84" s="2"/>
      <x:c r="D84" s="3"/>
      <x:c r="E84" s="3"/>
      <x:c r="F84" s="3"/>
      <x:c r="G84" s="3"/>
      <x:c r="H84" s="3"/>
      <x:c r="I84" s="3"/>
      <x:c r="J84" s="2"/>
      <x:c r="K84" s="2"/>
      <x:c r="L84" s="2"/>
      <x:c r="M84" s="2"/>
      <x:c r="N84" s="2"/>
      <x:c r="O84" s="2"/>
      <x:c r="P84" s="2"/>
      <x:c r="Q84" s="2"/>
    </x:row>
    <x:row r="85" ht="22" customHeight="1">
      <x:c r="A85" s="2"/>
      <x:c r="B85" s="2"/>
      <x:c r="C85" s="2"/>
      <x:c r="D85" s="3"/>
      <x:c r="E85" s="3"/>
      <x:c r="F85" s="3"/>
      <x:c r="G85" s="3"/>
      <x:c r="H85" s="3"/>
      <x:c r="I85" s="3"/>
      <x:c r="J85" s="2"/>
      <x:c r="K85" s="2"/>
      <x:c r="L85" s="2"/>
      <x:c r="M85" s="2"/>
      <x:c r="N85" s="2"/>
      <x:c r="O85" s="2"/>
      <x:c r="P85" s="2"/>
      <x:c r="Q85" s="2"/>
    </x:row>
    <x:row r="86" ht="22" customHeight="1">
      <x:c r="A86" s="2"/>
      <x:c r="B86" s="2"/>
      <x:c r="C86" s="2"/>
      <x:c r="D86" s="3"/>
      <x:c r="E86" s="3"/>
      <x:c r="F86" s="3"/>
      <x:c r="G86" s="3"/>
      <x:c r="H86" s="3"/>
      <x:c r="I86" s="3"/>
      <x:c r="J86" s="2"/>
      <x:c r="K86" s="2"/>
      <x:c r="L86" s="2"/>
      <x:c r="M86" s="2"/>
      <x:c r="N86" s="2"/>
      <x:c r="O86" s="2"/>
      <x:c r="P86" s="2"/>
      <x:c r="Q86" s="2"/>
    </x:row>
    <x:row r="87" ht="22" customHeight="1">
      <x:c r="A87" s="2"/>
      <x:c r="B87" s="2"/>
      <x:c r="C87" s="2"/>
      <x:c r="D87" s="3"/>
      <x:c r="E87" s="3"/>
      <x:c r="F87" s="3"/>
      <x:c r="G87" s="3"/>
      <x:c r="H87" s="3"/>
      <x:c r="I87" s="3"/>
      <x:c r="J87" s="2"/>
      <x:c r="K87" s="2"/>
      <x:c r="L87" s="2"/>
      <x:c r="M87" s="2"/>
      <x:c r="N87" s="2"/>
      <x:c r="O87" s="2"/>
      <x:c r="P87" s="2"/>
      <x:c r="Q87" s="2"/>
    </x:row>
    <x:row r="88" ht="22" customHeight="1">
      <x:c r="A88" s="2"/>
      <x:c r="B88" s="2"/>
      <x:c r="C88" s="2"/>
      <x:c r="D88" s="3"/>
      <x:c r="E88" s="3"/>
      <x:c r="F88" s="3"/>
      <x:c r="G88" s="3"/>
      <x:c r="H88" s="3"/>
      <x:c r="I88" s="3"/>
      <x:c r="J88" s="2"/>
      <x:c r="K88" s="2"/>
      <x:c r="L88" s="2"/>
      <x:c r="M88" s="2"/>
      <x:c r="N88" s="2"/>
      <x:c r="O88" s="2"/>
      <x:c r="P88" s="2"/>
      <x:c r="Q88" s="2"/>
    </x:row>
    <x:row r="89" ht="22" customHeight="1">
      <x:c r="A89" s="2"/>
      <x:c r="B89" s="2"/>
      <x:c r="C89" s="2"/>
      <x:c r="D89" s="3"/>
      <x:c r="E89" s="3"/>
      <x:c r="F89" s="3"/>
      <x:c r="G89" s="3"/>
      <x:c r="H89" s="3"/>
      <x:c r="I89" s="3"/>
      <x:c r="J89" s="2"/>
      <x:c r="K89" s="2"/>
      <x:c r="L89" s="2"/>
      <x:c r="M89" s="2"/>
      <x:c r="N89" s="2"/>
      <x:c r="O89" s="2"/>
      <x:c r="P89" s="2"/>
      <x:c r="Q89" s="2"/>
    </x:row>
    <x:row r="90" ht="22" customHeight="1">
      <x:c r="A90" s="2"/>
      <x:c r="B90" s="2"/>
      <x:c r="C90" s="2"/>
      <x:c r="D90" s="3"/>
      <x:c r="E90" s="3"/>
      <x:c r="F90" s="3"/>
      <x:c r="G90" s="3"/>
      <x:c r="H90" s="3"/>
      <x:c r="I90" s="3"/>
      <x:c r="J90" s="2"/>
      <x:c r="K90" s="2"/>
      <x:c r="L90" s="2"/>
      <x:c r="M90" s="2"/>
      <x:c r="N90" s="2"/>
      <x:c r="O90" s="2"/>
      <x:c r="P90" s="2"/>
      <x:c r="Q90" s="2"/>
    </x:row>
    <x:row r="91" ht="22" customHeight="1">
      <x:c r="A91" s="2"/>
      <x:c r="B91" s="2"/>
      <x:c r="C91" s="2"/>
      <x:c r="D91" s="3"/>
      <x:c r="E91" s="3"/>
      <x:c r="F91" s="3"/>
      <x:c r="G91" s="3"/>
      <x:c r="H91" s="3"/>
      <x:c r="I91" s="3"/>
      <x:c r="J91" s="2"/>
      <x:c r="K91" s="2"/>
      <x:c r="L91" s="2"/>
      <x:c r="M91" s="2"/>
      <x:c r="N91" s="2"/>
      <x:c r="O91" s="2"/>
      <x:c r="P91" s="2"/>
      <x:c r="Q91" s="2"/>
    </x:row>
    <x:row r="92" ht="22" customHeight="1">
      <x:c r="A92" s="2"/>
      <x:c r="B92" s="2"/>
      <x:c r="C92" s="2"/>
      <x:c r="D92" s="3"/>
      <x:c r="E92" s="3"/>
      <x:c r="F92" s="3"/>
      <x:c r="G92" s="3"/>
      <x:c r="H92" s="3"/>
      <x:c r="I92" s="3"/>
      <x:c r="J92" s="2"/>
      <x:c r="K92" s="2"/>
      <x:c r="L92" s="2"/>
      <x:c r="M92" s="2"/>
      <x:c r="N92" s="2"/>
      <x:c r="O92" s="2"/>
      <x:c r="P92" s="2"/>
      <x:c r="Q92" s="2"/>
    </x:row>
    <x:row r="93" ht="22" customHeight="1">
      <x:c r="A93" s="2"/>
      <x:c r="B93" s="2"/>
      <x:c r="C93" s="2"/>
      <x:c r="D93" s="3"/>
      <x:c r="E93" s="3"/>
      <x:c r="F93" s="3"/>
      <x:c r="G93" s="3"/>
      <x:c r="H93" s="3"/>
      <x:c r="I93" s="3"/>
      <x:c r="J93" s="2"/>
      <x:c r="K93" s="2"/>
      <x:c r="L93" s="2"/>
      <x:c r="M93" s="2"/>
      <x:c r="N93" s="2"/>
      <x:c r="O93" s="2"/>
      <x:c r="P93" s="2"/>
      <x:c r="Q93" s="2"/>
    </x:row>
    <x:row r="94" ht="22" customHeight="1">
      <x:c r="A94" s="2"/>
      <x:c r="B94" s="2"/>
      <x:c r="C94" s="2"/>
      <x:c r="D94" s="3"/>
      <x:c r="E94" s="3"/>
      <x:c r="F94" s="3"/>
      <x:c r="G94" s="3"/>
      <x:c r="H94" s="3"/>
      <x:c r="I94" s="3"/>
      <x:c r="J94" s="2"/>
      <x:c r="K94" s="2"/>
      <x:c r="L94" s="2"/>
      <x:c r="M94" s="2"/>
      <x:c r="N94" s="2"/>
      <x:c r="O94" s="2"/>
      <x:c r="P94" s="2"/>
      <x:c r="Q94" s="2"/>
    </x:row>
    <x:row r="95" ht="22" customHeight="1">
      <x:c r="A95" s="2"/>
      <x:c r="B95" s="2"/>
      <x:c r="C95" s="2"/>
      <x:c r="D95" s="3"/>
      <x:c r="E95" s="3"/>
      <x:c r="F95" s="3"/>
      <x:c r="G95" s="3"/>
      <x:c r="H95" s="3"/>
      <x:c r="I95" s="3"/>
      <x:c r="J95" s="2"/>
      <x:c r="K95" s="2"/>
      <x:c r="L95" s="2"/>
      <x:c r="M95" s="2"/>
      <x:c r="N95" s="2"/>
      <x:c r="O95" s="2"/>
      <x:c r="P95" s="2"/>
      <x:c r="Q95" s="2"/>
    </x:row>
    <x:row r="96" ht="22" customHeight="1">
      <x:c r="A96" s="2"/>
      <x:c r="B96" s="2"/>
      <x:c r="C96" s="2"/>
      <x:c r="D96" s="3"/>
      <x:c r="E96" s="3"/>
      <x:c r="F96" s="3"/>
      <x:c r="G96" s="3"/>
      <x:c r="H96" s="3"/>
      <x:c r="I96" s="3"/>
      <x:c r="J96" s="2"/>
      <x:c r="K96" s="2"/>
      <x:c r="L96" s="2"/>
      <x:c r="M96" s="2"/>
      <x:c r="N96" s="2"/>
      <x:c r="O96" s="2"/>
      <x:c r="P96" s="2"/>
      <x:c r="Q96" s="2"/>
    </x:row>
    <x:row r="97" ht="22" customHeight="1">
      <x:c r="A97" s="2"/>
      <x:c r="B97" s="2"/>
      <x:c r="C97" s="2"/>
      <x:c r="D97" s="3"/>
      <x:c r="E97" s="3"/>
      <x:c r="F97" s="3"/>
      <x:c r="G97" s="3"/>
      <x:c r="H97" s="3"/>
      <x:c r="I97" s="3"/>
      <x:c r="J97" s="2"/>
      <x:c r="K97" s="2"/>
      <x:c r="L97" s="2"/>
      <x:c r="M97" s="2"/>
      <x:c r="N97" s="2"/>
      <x:c r="O97" s="2"/>
      <x:c r="P97" s="2"/>
      <x:c r="Q97" s="2"/>
    </x:row>
    <x:row r="98" ht="22" customHeight="1">
      <x:c r="A98" s="2"/>
      <x:c r="B98" s="2"/>
      <x:c r="C98" s="2"/>
      <x:c r="D98" s="3"/>
      <x:c r="E98" s="3"/>
      <x:c r="F98" s="3"/>
      <x:c r="G98" s="3"/>
      <x:c r="H98" s="3"/>
      <x:c r="I98" s="3"/>
      <x:c r="J98" s="2"/>
      <x:c r="K98" s="2"/>
      <x:c r="L98" s="2"/>
      <x:c r="M98" s="2"/>
      <x:c r="N98" s="2"/>
      <x:c r="O98" s="2"/>
      <x:c r="P98" s="2"/>
      <x:c r="Q98" s="2"/>
    </x:row>
    <x:row r="99" ht="22" customHeight="1">
      <x:c r="A99" s="2"/>
      <x:c r="B99" s="2"/>
      <x:c r="C99" s="2"/>
      <x:c r="D99" s="3"/>
      <x:c r="E99" s="3"/>
      <x:c r="F99" s="3"/>
      <x:c r="G99" s="3"/>
      <x:c r="H99" s="3"/>
      <x:c r="I99" s="3"/>
      <x:c r="J99" s="2"/>
      <x:c r="K99" s="2"/>
      <x:c r="L99" s="2"/>
      <x:c r="M99" s="2"/>
      <x:c r="N99" s="2"/>
      <x:c r="O99" s="2"/>
      <x:c r="P99" s="2"/>
      <x:c r="Q99" s="2"/>
    </x:row>
    <x:row r="100" ht="22" customHeight="1">
      <x:c r="A100" s="2"/>
      <x:c r="B100" s="2"/>
      <x:c r="C100" s="2"/>
      <x:c r="D100" s="3"/>
      <x:c r="E100" s="3"/>
      <x:c r="F100" s="3"/>
      <x:c r="G100" s="3"/>
      <x:c r="H100" s="3"/>
      <x:c r="I100" s="3"/>
      <x:c r="J100" s="2"/>
      <x:c r="K100" s="2"/>
      <x:c r="L100" s="2"/>
      <x:c r="M100" s="2"/>
      <x:c r="N100" s="2"/>
      <x:c r="O100" s="2"/>
      <x:c r="P100" s="2"/>
      <x:c r="Q100" s="2"/>
    </x:row>
    <x:row r="101" ht="22" customHeight="1">
      <x:c r="A101" s="2"/>
      <x:c r="B101" s="2"/>
      <x:c r="C101" s="2"/>
      <x:c r="D101" s="3"/>
      <x:c r="E101" s="3"/>
      <x:c r="F101" s="3"/>
      <x:c r="G101" s="3"/>
      <x:c r="H101" s="3"/>
      <x:c r="I101" s="3"/>
      <x:c r="J101" s="2"/>
      <x:c r="K101" s="2"/>
      <x:c r="L101" s="2"/>
      <x:c r="M101" s="2"/>
      <x:c r="N101" s="2"/>
      <x:c r="O101" s="2"/>
      <x:c r="P101" s="2"/>
      <x:c r="Q101" s="2"/>
    </x:row>
    <x:row r="102" ht="22" customHeight="1">
      <x:c r="A102" s="2"/>
      <x:c r="B102" s="2"/>
      <x:c r="C102" s="2"/>
      <x:c r="D102" s="3"/>
      <x:c r="E102" s="3"/>
      <x:c r="F102" s="3"/>
      <x:c r="G102" s="3"/>
      <x:c r="H102" s="3"/>
      <x:c r="I102" s="3"/>
      <x:c r="J102" s="2"/>
      <x:c r="K102" s="2"/>
      <x:c r="L102" s="2"/>
      <x:c r="M102" s="2"/>
      <x:c r="N102" s="2"/>
      <x:c r="O102" s="2"/>
      <x:c r="P102" s="2"/>
      <x:c r="Q102" s="2"/>
    </x:row>
    <x:row r="103" ht="22" customHeight="1">
      <x:c r="A103" s="2"/>
      <x:c r="B103" s="2"/>
      <x:c r="C103" s="2"/>
      <x:c r="D103" s="3"/>
      <x:c r="E103" s="3"/>
      <x:c r="F103" s="3"/>
      <x:c r="G103" s="3"/>
      <x:c r="H103" s="3"/>
      <x:c r="I103" s="3"/>
      <x:c r="J103" s="2"/>
      <x:c r="K103" s="2"/>
      <x:c r="L103" s="2"/>
      <x:c r="M103" s="2"/>
      <x:c r="N103" s="2"/>
      <x:c r="O103" s="2"/>
      <x:c r="P103" s="2"/>
      <x:c r="Q103" s="2"/>
    </x:row>
    <x:row r="104" ht="22" customHeight="1">
      <x:c r="A104" s="2"/>
      <x:c r="B104" s="2"/>
      <x:c r="C104" s="2"/>
      <x:c r="D104" s="3"/>
      <x:c r="E104" s="3"/>
      <x:c r="F104" s="3"/>
      <x:c r="G104" s="3"/>
      <x:c r="H104" s="3"/>
      <x:c r="I104" s="3"/>
      <x:c r="J104" s="2"/>
      <x:c r="K104" s="2"/>
      <x:c r="L104" s="2"/>
      <x:c r="M104" s="2"/>
      <x:c r="N104" s="2"/>
      <x:c r="O104" s="2"/>
      <x:c r="P104" s="2"/>
      <x:c r="Q104" s="2"/>
    </x:row>
    <x:row r="105" ht="22" customHeight="1">
      <x:c r="A105" s="2"/>
      <x:c r="B105" s="2"/>
      <x:c r="C105" s="2"/>
      <x:c r="D105" s="3"/>
      <x:c r="E105" s="3"/>
      <x:c r="F105" s="3"/>
      <x:c r="G105" s="3"/>
      <x:c r="H105" s="3"/>
      <x:c r="I105" s="3"/>
      <x:c r="J105" s="2"/>
      <x:c r="K105" s="2"/>
      <x:c r="L105" s="2"/>
      <x:c r="M105" s="2"/>
      <x:c r="N105" s="2"/>
      <x:c r="O105" s="2"/>
      <x:c r="P105" s="2"/>
      <x:c r="Q105" s="2"/>
    </x:row>
    <x:row r="106" ht="22" customHeight="1">
      <x:c r="A106" s="2"/>
      <x:c r="B106" s="2"/>
      <x:c r="C106" s="2"/>
      <x:c r="D106" s="3"/>
      <x:c r="E106" s="3"/>
      <x:c r="F106" s="3"/>
      <x:c r="G106" s="3"/>
      <x:c r="H106" s="3"/>
      <x:c r="I106" s="3"/>
      <x:c r="J106" s="2"/>
      <x:c r="K106" s="2"/>
      <x:c r="L106" s="2"/>
      <x:c r="M106" s="2"/>
      <x:c r="N106" s="2"/>
      <x:c r="O106" s="2"/>
      <x:c r="P106" s="2"/>
      <x:c r="Q106" s="2"/>
    </x:row>
    <x:row r="107" ht="22" customHeight="1">
      <x:c r="A107" s="2"/>
      <x:c r="B107" s="2"/>
      <x:c r="C107" s="2"/>
      <x:c r="D107" s="3"/>
      <x:c r="E107" s="3"/>
      <x:c r="F107" s="3"/>
      <x:c r="G107" s="3"/>
      <x:c r="H107" s="3"/>
      <x:c r="I107" s="3"/>
      <x:c r="J107" s="2"/>
      <x:c r="K107" s="2"/>
      <x:c r="L107" s="2"/>
      <x:c r="M107" s="2"/>
      <x:c r="N107" s="2"/>
      <x:c r="O107" s="2"/>
      <x:c r="P107" s="2"/>
      <x:c r="Q107" s="2"/>
    </x:row>
    <x:row r="108" ht="22" customHeight="1">
      <x:c r="A108" s="2"/>
      <x:c r="B108" s="2"/>
      <x:c r="C108" s="2"/>
      <x:c r="D108" s="3"/>
      <x:c r="E108" s="3"/>
      <x:c r="F108" s="3"/>
      <x:c r="G108" s="3"/>
      <x:c r="H108" s="3"/>
      <x:c r="I108" s="3"/>
      <x:c r="J108" s="2"/>
      <x:c r="K108" s="2"/>
      <x:c r="L108" s="2"/>
      <x:c r="M108" s="2"/>
      <x:c r="N108" s="2"/>
      <x:c r="O108" s="2"/>
      <x:c r="P108" s="2"/>
      <x:c r="Q108" s="2"/>
    </x:row>
    <x:row r="109" ht="22" customHeight="1">
      <x:c r="A109" s="2"/>
      <x:c r="B109" s="2"/>
      <x:c r="C109" s="2"/>
      <x:c r="D109" s="3"/>
      <x:c r="E109" s="3"/>
      <x:c r="F109" s="3"/>
      <x:c r="G109" s="3"/>
      <x:c r="H109" s="3"/>
      <x:c r="I109" s="3"/>
      <x:c r="J109" s="2"/>
      <x:c r="K109" s="2"/>
      <x:c r="L109" s="2"/>
      <x:c r="M109" s="2"/>
      <x:c r="N109" s="2"/>
      <x:c r="O109" s="2"/>
      <x:c r="P109" s="2"/>
      <x:c r="Q109" s="2"/>
    </x:row>
    <x:row r="110" ht="22" customHeight="1">
      <x:c r="A110" s="2"/>
      <x:c r="B110" s="2"/>
      <x:c r="C110" s="2"/>
      <x:c r="D110" s="3"/>
      <x:c r="E110" s="3"/>
      <x:c r="F110" s="3"/>
      <x:c r="G110" s="3"/>
      <x:c r="H110" s="3"/>
      <x:c r="I110" s="3"/>
      <x:c r="J110" s="2"/>
      <x:c r="K110" s="2"/>
      <x:c r="L110" s="2"/>
      <x:c r="M110" s="2"/>
      <x:c r="N110" s="2"/>
      <x:c r="O110" s="2"/>
      <x:c r="P110" s="2"/>
      <x:c r="Q110" s="2"/>
    </x:row>
    <x:row r="111" ht="22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 ht="22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 ht="22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 ht="22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 ht="22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 ht="22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 ht="22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 ht="22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 ht="22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 ht="22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C6B89C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3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2" customHeight="1">
      <x:c r="A2" s="2"/>
      <x:c r="B2" s="2"/>
      <x:c r="C2" s="4" t="str">
        <x:v>Historical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</x:row>
    <x:row r="3" ht="22" customHeight="1">
      <x:c r="A3" s="2"/>
      <x:c r="B3" s="2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</x:row>
    <x:row r="4" ht="22" customHeight="1">
      <x:c r="A4" s="2"/>
      <x:c r="B4" s="2"/>
      <x:c r="C4" s="2" t="str">
        <x:v>USD millions | FY2025 historical; 2026–2030 forecast</x:v>
      </x:c>
      <x:c r="D4" s="2"/>
      <x:c r="E4" s="2"/>
      <x:c r="F4" s="2"/>
      <x:c r="G4" s="2"/>
      <x:c r="H4" s="2"/>
      <x:c r="I4" s="2"/>
      <x:c r="J4" s="2"/>
      <x:c r="K4" s="2" t="str">
        <x:v>Case Selected:</x:v>
      </x:c>
      <x:c r="L4" s="8" t="str">
        <x:f>CHOOSE(Assumptions!$D$5,"Base","Upside","Downside")</x:f>
        <x:v>Base</x:v>
      </x:c>
      <x:c r="M4" s="2"/>
      <x:c r="N4" s="2"/>
      <x:c r="O4" s="2"/>
      <x:c r="P4" s="2"/>
      <x:c r="Q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2" customHeight="1">
      <x:c r="A6" s="2"/>
      <x:c r="B6" s="2"/>
      <x:c r="C6" s="13" t="str">
        <x:v>Reported metric</x:v>
      </x:c>
      <x:c r="D6" s="14" t="str">
        <x:v>2023</x:v>
      </x:c>
      <x:c r="E6" s="14" t="str">
        <x:v>2024</x:v>
      </x:c>
      <x:c r="F6" s="14" t="str">
        <x:v>2025</x:v>
      </x:c>
      <x:c r="G6" s="14"/>
      <x:c r="H6" s="14"/>
      <x:c r="I6" s="14"/>
      <x:c r="J6" s="2"/>
      <x:c r="K6" s="2"/>
      <x:c r="L6" s="2"/>
      <x:c r="M6" s="2"/>
      <x:c r="N6" s="2"/>
      <x:c r="O6" s="2"/>
      <x:c r="P6" s="2"/>
      <x:c r="Q6" s="2"/>
    </x:row>
    <x:row r="7" ht="22" customHeight="1">
      <x:c r="A7" s="2"/>
      <x:c r="B7" s="2"/>
      <x:c r="C7" s="2" t="str">
        <x:v>room revenue</x:v>
      </x:c>
      <x:c r="D7" s="10" t="n">
        <x:v>1653</x:v>
      </x:c>
      <x:c r="E7" s="10" t="n">
        <x:v>1569</x:v>
      </x:c>
      <x:c r="F7" s="10" t="n">
        <x:v>1505</x:v>
      </x:c>
      <x:c r="G7" s="3"/>
      <x:c r="H7" s="3" t="str">
        <x:v>PK10K pp. 57–58</x:v>
      </x:c>
      <x:c r="I7" s="3"/>
      <x:c r="J7" s="2"/>
      <x:c r="K7" s="2"/>
      <x:c r="L7" s="2"/>
      <x:c r="M7" s="2"/>
      <x:c r="N7" s="2"/>
      <x:c r="O7" s="2"/>
      <x:c r="P7" s="2"/>
      <x:c r="Q7" s="2"/>
    </x:row>
    <x:row r="8" ht="22" customHeight="1">
      <x:c r="A8" s="2"/>
      <x:c r="B8" s="2"/>
      <x:c r="C8" s="2" t="str">
        <x:v>food revenue</x:v>
      </x:c>
      <x:c r="D8" s="10" t="n">
        <x:v>696</x:v>
      </x:c>
      <x:c r="E8" s="10" t="n">
        <x:v>688</x:v>
      </x:c>
      <x:c r="F8" s="10" t="n">
        <x:v>685</x:v>
      </x:c>
      <x:c r="G8" s="3"/>
      <x:c r="H8" s="3" t="str">
        <x:v>PK10K pp. 57–58</x:v>
      </x:c>
      <x:c r="I8" s="3"/>
      <x:c r="J8" s="2"/>
      <x:c r="K8" s="2"/>
      <x:c r="L8" s="2"/>
      <x:c r="M8" s="2"/>
      <x:c r="N8" s="2"/>
      <x:c r="O8" s="2"/>
      <x:c r="P8" s="2"/>
      <x:c r="Q8" s="2"/>
    </x:row>
    <x:row r="9" ht="22" customHeight="1">
      <x:c r="A9" s="2"/>
      <x:c r="B9" s="2"/>
      <x:c r="C9" s="2" t="str">
        <x:v>ancillary revenue</x:v>
      </x:c>
      <x:c r="D9" s="10" t="n">
        <x:v>264</x:v>
      </x:c>
      <x:c r="E9" s="10" t="n">
        <x:v>256</x:v>
      </x:c>
      <x:c r="F9" s="10" t="n">
        <x:v>259</x:v>
      </x:c>
      <x:c r="G9" s="3"/>
      <x:c r="H9" s="3" t="str">
        <x:v>PK10K pp. 57–58</x:v>
      </x:c>
      <x:c r="I9" s="3"/>
      <x:c r="J9" s="2"/>
      <x:c r="K9" s="2"/>
      <x:c r="L9" s="2"/>
      <x:c r="M9" s="2"/>
      <x:c r="N9" s="2"/>
      <x:c r="O9" s="2"/>
      <x:c r="P9" s="2"/>
      <x:c r="Q9" s="2"/>
    </x:row>
    <x:row r="10" ht="22" customHeight="1">
      <x:c r="A10" s="2"/>
      <x:c r="B10" s="2"/>
      <x:c r="C10" s="2" t="str">
        <x:v>other revenue</x:v>
      </x:c>
      <x:c r="D10" s="10" t="n">
        <x:v>85</x:v>
      </x:c>
      <x:c r="E10" s="10" t="n">
        <x:v>86</x:v>
      </x:c>
      <x:c r="F10" s="10" t="n">
        <x:v>92</x:v>
      </x:c>
      <x:c r="G10" s="3"/>
      <x:c r="H10" s="3" t="str">
        <x:v>PK10K pp. 57–58</x:v>
      </x:c>
      <x:c r="I10" s="3"/>
      <x:c r="J10" s="2"/>
      <x:c r="K10" s="2"/>
      <x:c r="L10" s="2"/>
      <x:c r="M10" s="2"/>
      <x:c r="N10" s="2"/>
      <x:c r="O10" s="2"/>
      <x:c r="P10" s="2"/>
      <x:c r="Q10" s="2"/>
    </x:row>
    <x:row r="11" ht="22" customHeight="1">
      <x:c r="A11" s="2"/>
      <x:c r="B11" s="2"/>
      <x:c r="C11" s="2" t="str">
        <x:v>revenue</x:v>
      </x:c>
      <x:c r="D11" s="10" t="n">
        <x:v>2698</x:v>
      </x:c>
      <x:c r="E11" s="10" t="n">
        <x:v>2599</x:v>
      </x:c>
      <x:c r="F11" s="10" t="n">
        <x:v>2541</x:v>
      </x:c>
      <x:c r="G11" s="3"/>
      <x:c r="H11" s="3" t="str">
        <x:v>PK10K pp. 57–58</x:v>
      </x:c>
      <x:c r="I11" s="3"/>
      <x:c r="J11" s="2"/>
      <x:c r="K11" s="2"/>
      <x:c r="L11" s="2"/>
      <x:c r="M11" s="2"/>
      <x:c r="N11" s="2"/>
      <x:c r="O11" s="2"/>
      <x:c r="P11" s="2"/>
      <x:c r="Q11" s="2"/>
    </x:row>
    <x:row r="12" ht="22" customHeight="1">
      <x:c r="A12" s="2"/>
      <x:c r="B12" s="2"/>
      <x:c r="C12" s="2" t="str">
        <x:v>room expense</x:v>
      </x:c>
      <x:c r="D12" s="10" t="n">
        <x:v>449</x:v>
      </x:c>
      <x:c r="E12" s="10" t="n">
        <x:v>419</x:v>
      </x:c>
      <x:c r="F12" s="10" t="n">
        <x:v>411</x:v>
      </x:c>
      <x:c r="G12" s="3"/>
      <x:c r="H12" s="3" t="str">
        <x:v>PK10K pp. 57–58</x:v>
      </x:c>
      <x:c r="I12" s="3"/>
      <x:c r="J12" s="2"/>
      <x:c r="K12" s="2"/>
      <x:c r="L12" s="2"/>
      <x:c r="M12" s="2"/>
      <x:c r="N12" s="2"/>
      <x:c r="O12" s="2"/>
      <x:c r="P12" s="2"/>
      <x:c r="Q12" s="2"/>
    </x:row>
    <x:row r="13" ht="22" customHeight="1">
      <x:c r="A13" s="2"/>
      <x:c r="B13" s="2"/>
      <x:c r="C13" s="2" t="str">
        <x:v>food expense</x:v>
      </x:c>
      <x:c r="D13" s="10" t="n">
        <x:v>501</x:v>
      </x:c>
      <x:c r="E13" s="10" t="n">
        <x:v>474</x:v>
      </x:c>
      <x:c r="F13" s="10" t="n">
        <x:v>478</x:v>
      </x:c>
      <x:c r="G13" s="3"/>
      <x:c r="H13" s="3" t="str">
        <x:v>PK10K pp. 57–58</x:v>
      </x:c>
      <x:c r="I13" s="3"/>
      <x:c r="J13" s="2"/>
      <x:c r="K13" s="2"/>
      <x:c r="L13" s="2"/>
      <x:c r="M13" s="2"/>
      <x:c r="N13" s="2"/>
      <x:c r="O13" s="2"/>
      <x:c r="P13" s="2"/>
      <x:c r="Q13" s="2"/>
    </x:row>
    <x:row r="14" ht="22" customHeight="1">
      <x:c r="A14" s="2"/>
      <x:c r="B14" s="2"/>
      <x:c r="C14" s="2" t="str">
        <x:v>support expense</x:v>
      </x:c>
      <x:c r="D14" s="10" t="n">
        <x:v>635</x:v>
      </x:c>
      <x:c r="E14" s="10" t="n">
        <x:v>605</x:v>
      </x:c>
      <x:c r="F14" s="10" t="n">
        <x:v>596</x:v>
      </x:c>
      <x:c r="G14" s="3"/>
      <x:c r="H14" s="3" t="str">
        <x:v>PK10K pp. 57–58</x:v>
      </x:c>
      <x:c r="I14" s="3"/>
      <x:c r="J14" s="2"/>
      <x:c r="K14" s="2"/>
      <x:c r="L14" s="2"/>
      <x:c r="M14" s="2"/>
      <x:c r="N14" s="2"/>
      <x:c r="O14" s="2"/>
      <x:c r="P14" s="2"/>
      <x:c r="Q14" s="2"/>
    </x:row>
    <x:row r="15" ht="22" customHeight="1">
      <x:c r="A15" s="2"/>
      <x:c r="B15" s="2"/>
      <x:c r="C15" s="2" t="str">
        <x:v>property expense</x:v>
      </x:c>
      <x:c r="D15" s="10" t="n">
        <x:v>241</x:v>
      </x:c>
      <x:c r="E15" s="10" t="n">
        <x:v>231</x:v>
      </x:c>
      <x:c r="F15" s="10" t="n">
        <x:v>216</x:v>
      </x:c>
      <x:c r="G15" s="3"/>
      <x:c r="H15" s="3" t="str">
        <x:v>PK10K pp. 57–58</x:v>
      </x:c>
      <x:c r="I15" s="3"/>
      <x:c r="J15" s="2"/>
      <x:c r="K15" s="2"/>
      <x:c r="L15" s="2"/>
      <x:c r="M15" s="2"/>
      <x:c r="N15" s="2"/>
      <x:c r="O15" s="2"/>
      <x:c r="P15" s="2"/>
      <x:c r="Q15" s="2"/>
    </x:row>
    <x:row r="16" ht="22" customHeight="1">
      <x:c r="A16" s="2"/>
      <x:c r="B16" s="2"/>
      <x:c r="C16" s="2" t="str">
        <x:v>management fees</x:v>
      </x:c>
      <x:c r="D16" s="10" t="n">
        <x:v>126</x:v>
      </x:c>
      <x:c r="E16" s="10" t="n">
        <x:v>125</x:v>
      </x:c>
      <x:c r="F16" s="10" t="n">
        <x:v>118</x:v>
      </x:c>
      <x:c r="G16" s="3"/>
      <x:c r="H16" s="3" t="str">
        <x:v>PK10K pp. 57–58</x:v>
      </x:c>
      <x:c r="I16" s="3"/>
      <x:c r="J16" s="2"/>
      <x:c r="K16" s="2"/>
      <x:c r="L16" s="2"/>
      <x:c r="M16" s="2"/>
      <x:c r="N16" s="2"/>
      <x:c r="O16" s="2"/>
      <x:c r="P16" s="2"/>
      <x:c r="Q16" s="2"/>
    </x:row>
    <x:row r="17" ht="22" customHeight="1">
      <x:c r="A17" s="2"/>
      <x:c r="B17" s="2"/>
      <x:c r="C17" s="2" t="str">
        <x:v>impairment casualty</x:v>
      </x:c>
      <x:c r="D17" s="10" t="n">
        <x:v>204</x:v>
      </x:c>
      <x:c r="E17" s="10" t="n">
        <x:v>14</x:v>
      </x:c>
      <x:c r="F17" s="10" t="n">
        <x:v>319</x:v>
      </x:c>
      <x:c r="G17" s="3"/>
      <x:c r="H17" s="3" t="str">
        <x:v>PK10K pp. 57–58</x:v>
      </x:c>
      <x:c r="I17" s="3"/>
      <x:c r="J17" s="2"/>
      <x:c r="K17" s="2"/>
      <x:c r="L17" s="2"/>
      <x:c r="M17" s="2"/>
      <x:c r="N17" s="2"/>
      <x:c r="O17" s="2"/>
      <x:c r="P17" s="2"/>
      <x:c r="Q17" s="2"/>
    </x:row>
    <x:row r="18" ht="22" customHeight="1">
      <x:c r="A18" s="2"/>
      <x:c r="B18" s="2"/>
      <x:c r="C18" s="2" t="str">
        <x:v>da</x:v>
      </x:c>
      <x:c r="D18" s="10" t="n">
        <x:v>287</x:v>
      </x:c>
      <x:c r="E18" s="10" t="n">
        <x:v>257</x:v>
      </x:c>
      <x:c r="F18" s="10" t="n">
        <x:v>336</x:v>
      </x:c>
      <x:c r="G18" s="3"/>
      <x:c r="H18" s="3" t="str">
        <x:v>PK10K pp. 57–58</x:v>
      </x:c>
      <x:c r="I18" s="3"/>
      <x:c r="J18" s="2"/>
      <x:c r="K18" s="2"/>
      <x:c r="L18" s="2"/>
      <x:c r="M18" s="2"/>
      <x:c r="N18" s="2"/>
      <x:c r="O18" s="2"/>
      <x:c r="P18" s="2"/>
      <x:c r="Q18" s="2"/>
    </x:row>
    <x:row r="19" ht="22" customHeight="1">
      <x:c r="A19" s="2"/>
      <x:c r="B19" s="2"/>
      <x:c r="C19" s="2" t="str">
        <x:v>corporate expense</x:v>
      </x:c>
      <x:c r="D19" s="10" t="n">
        <x:v>65</x:v>
      </x:c>
      <x:c r="E19" s="10" t="n">
        <x:v>69</x:v>
      </x:c>
      <x:c r="F19" s="10" t="n">
        <x:v>72</x:v>
      </x:c>
      <x:c r="G19" s="3"/>
      <x:c r="H19" s="3" t="str">
        <x:v>PK10K pp. 57–58</x:v>
      </x:c>
      <x:c r="I19" s="3"/>
      <x:c r="J19" s="2"/>
      <x:c r="K19" s="2"/>
      <x:c r="L19" s="2"/>
      <x:c r="M19" s="2"/>
      <x:c r="N19" s="2"/>
      <x:c r="O19" s="2"/>
      <x:c r="P19" s="2"/>
      <x:c r="Q19" s="2"/>
    </x:row>
    <x:row r="20" ht="22" customHeight="1">
      <x:c r="A20" s="2"/>
      <x:c r="B20" s="2"/>
      <x:c r="C20" s="2" t="str">
        <x:v>other expense</x:v>
      </x:c>
      <x:c r="D20" s="10" t="n">
        <x:v>83</x:v>
      </x:c>
      <x:c r="E20" s="10" t="n">
        <x:v>82</x:v>
      </x:c>
      <x:c r="F20" s="10" t="n">
        <x:v>88</x:v>
      </x:c>
      <x:c r="G20" s="3"/>
      <x:c r="H20" s="3" t="str">
        <x:v>PK10K pp. 57–58</x:v>
      </x:c>
      <x:c r="I20" s="3"/>
      <x:c r="J20" s="2"/>
      <x:c r="K20" s="2"/>
      <x:c r="L20" s="2"/>
      <x:c r="M20" s="2"/>
      <x:c r="N20" s="2"/>
      <x:c r="O20" s="2"/>
      <x:c r="P20" s="2"/>
      <x:c r="Q20" s="2"/>
    </x:row>
    <x:row r="21" ht="22" customHeight="1">
      <x:c r="A21" s="2"/>
      <x:c r="B21" s="2"/>
      <x:c r="C21" s="2" t="str">
        <x:v>gain asset sale</x:v>
      </x:c>
      <x:c r="D21" s="10" t="n">
        <x:v>15</x:v>
      </x:c>
      <x:c r="E21" s="10" t="n">
        <x:v>8</x:v>
      </x:c>
      <x:c r="F21" s="10" t="n">
        <x:v>2</x:v>
      </x:c>
      <x:c r="G21" s="3"/>
      <x:c r="H21" s="3" t="str">
        <x:v>PK10K pp. 57–58</x:v>
      </x:c>
      <x:c r="I21" s="3"/>
      <x:c r="J21" s="2"/>
      <x:c r="K21" s="2"/>
      <x:c r="L21" s="2"/>
      <x:c r="M21" s="2"/>
      <x:c r="N21" s="2"/>
      <x:c r="O21" s="2"/>
      <x:c r="P21" s="2"/>
      <x:c r="Q21" s="2"/>
    </x:row>
    <x:row r="22" ht="22" customHeight="1">
      <x:c r="A22" s="2"/>
      <x:c r="B22" s="2"/>
      <x:c r="C22" s="2" t="str">
        <x:v>gain derecognition</x:v>
      </x:c>
      <x:c r="D22" s="10" t="n">
        <x:v>221</x:v>
      </x:c>
      <x:c r="E22" s="10" t="n">
        <x:v>60</x:v>
      </x:c>
      <x:c r="F22" s="10" t="n">
        <x:v>58</x:v>
      </x:c>
      <x:c r="G22" s="3"/>
      <x:c r="H22" s="3" t="str">
        <x:v>PK10K pp. 57–58</x:v>
      </x:c>
      <x:c r="I22" s="3"/>
      <x:c r="J22" s="2"/>
      <x:c r="K22" s="2"/>
      <x:c r="L22" s="2"/>
      <x:c r="M22" s="2"/>
      <x:c r="N22" s="2"/>
      <x:c r="O22" s="2"/>
      <x:c r="P22" s="2"/>
      <x:c r="Q22" s="2"/>
    </x:row>
    <x:row r="23" ht="22" customHeight="1">
      <x:c r="A23" s="2"/>
      <x:c r="B23" s="2"/>
      <x:c r="C23" s="2" t="str">
        <x:v>operating income</x:v>
      </x:c>
      <x:c r="D23" s="10" t="n">
        <x:v>343</x:v>
      </x:c>
      <x:c r="E23" s="10" t="n">
        <x:v>391</x:v>
      </x:c>
      <x:c r="F23" s="10" t="n">
        <x:v>-33</x:v>
      </x:c>
      <x:c r="G23" s="3"/>
      <x:c r="H23" s="3" t="str">
        <x:v>PK10K pp. 57–58</x:v>
      </x:c>
      <x:c r="I23" s="3"/>
      <x:c r="J23" s="2"/>
      <x:c r="K23" s="2"/>
      <x:c r="L23" s="2"/>
      <x:c r="M23" s="2"/>
      <x:c r="N23" s="2"/>
      <x:c r="O23" s="2"/>
      <x:c r="P23" s="2"/>
      <x:c r="Q23" s="2"/>
    </x:row>
    <x:row r="24" ht="22" customHeight="1">
      <x:c r="A24" s="2"/>
      <x:c r="B24" s="2"/>
      <x:c r="C24" s="2" t="str">
        <x:v>interest income</x:v>
      </x:c>
      <x:c r="D24" s="10" t="n">
        <x:v>38</x:v>
      </x:c>
      <x:c r="E24" s="10" t="n">
        <x:v>21</x:v>
      </x:c>
      <x:c r="F24" s="10" t="n">
        <x:v>10</x:v>
      </x:c>
      <x:c r="G24" s="3"/>
      <x:c r="H24" s="3" t="str">
        <x:v>PK10K pp. 57–58</x:v>
      </x:c>
      <x:c r="I24" s="3"/>
      <x:c r="J24" s="2"/>
      <x:c r="K24" s="2"/>
      <x:c r="L24" s="2"/>
      <x:c r="M24" s="2"/>
      <x:c r="N24" s="2"/>
      <x:c r="O24" s="2"/>
      <x:c r="P24" s="2"/>
      <x:c r="Q24" s="2"/>
    </x:row>
    <x:row r="25" ht="22" customHeight="1">
      <x:c r="A25" s="2"/>
      <x:c r="B25" s="2"/>
      <x:c r="C25" s="2" t="str">
        <x:v>interest expense</x:v>
      </x:c>
      <x:c r="D25" s="10" t="n">
        <x:v>207</x:v>
      </x:c>
      <x:c r="E25" s="10" t="n">
        <x:v>214</x:v>
      </x:c>
      <x:c r="F25" s="10" t="n">
        <x:v>209</x:v>
      </x:c>
      <x:c r="G25" s="3"/>
      <x:c r="H25" s="3" t="str">
        <x:v>PK10K pp. 57–58</x:v>
      </x:c>
      <x:c r="I25" s="3"/>
      <x:c r="J25" s="2"/>
      <x:c r="K25" s="2"/>
      <x:c r="L25" s="2"/>
      <x:c r="M25" s="2"/>
      <x:c r="N25" s="2"/>
      <x:c r="O25" s="2"/>
      <x:c r="P25" s="2"/>
      <x:c r="Q25" s="2"/>
    </x:row>
    <x:row r="26" ht="22" customHeight="1">
      <x:c r="A26" s="2"/>
      <x:c r="B26" s="2"/>
      <x:c r="C26" s="2" t="str">
        <x:v>receivership interest</x:v>
      </x:c>
      <x:c r="D26" s="10" t="n">
        <x:v>45</x:v>
      </x:c>
      <x:c r="E26" s="10" t="n">
        <x:v>60</x:v>
      </x:c>
      <x:c r="F26" s="10" t="n">
        <x:v>58</x:v>
      </x:c>
      <x:c r="G26" s="3"/>
      <x:c r="H26" s="3" t="str">
        <x:v>PK10K pp. 57–58</x:v>
      </x:c>
      <x:c r="I26" s="3"/>
      <x:c r="J26" s="2"/>
      <x:c r="K26" s="2"/>
      <x:c r="L26" s="2"/>
      <x:c r="M26" s="2"/>
      <x:c r="N26" s="2"/>
      <x:c r="O26" s="2"/>
      <x:c r="P26" s="2"/>
      <x:c r="Q26" s="2"/>
    </x:row>
    <x:row r="27" ht="22" customHeight="1">
      <x:c r="A27" s="2"/>
      <x:c r="B27" s="2"/>
      <x:c r="C27" s="2" t="str">
        <x:v>affiliate income</x:v>
      </x:c>
      <x:c r="D27" s="10" t="n">
        <x:v>11</x:v>
      </x:c>
      <x:c r="E27" s="10" t="n">
        <x:v>31</x:v>
      </x:c>
      <x:c r="F27" s="10" t="n">
        <x:v>4</x:v>
      </x:c>
      <x:c r="G27" s="3"/>
      <x:c r="H27" s="3" t="str">
        <x:v>PK10K pp. 57–58</x:v>
      </x:c>
      <x:c r="I27" s="3"/>
      <x:c r="J27" s="2"/>
      <x:c r="K27" s="2"/>
      <x:c r="L27" s="2"/>
      <x:c r="M27" s="2"/>
      <x:c r="N27" s="2"/>
      <x:c r="O27" s="2"/>
      <x:c r="P27" s="2"/>
      <x:c r="Q27" s="2"/>
    </x:row>
    <x:row r="28" ht="22" customHeight="1">
      <x:c r="A28" s="2"/>
      <x:c r="B28" s="2"/>
      <x:c r="C28" s="2" t="str">
        <x:v>other gain</x:v>
      </x:c>
      <x:c r="D28" s="10" t="n">
        <x:v>4</x:v>
      </x:c>
      <x:c r="E28" s="10" t="n">
        <x:v>-4</x:v>
      </x:c>
      <x:c r="F28" s="10" t="n">
        <x:v>16</x:v>
      </x:c>
      <x:c r="G28" s="3"/>
      <x:c r="H28" s="3" t="str">
        <x:v>PK10K pp. 57–58</x:v>
      </x:c>
      <x:c r="I28" s="3"/>
      <x:c r="J28" s="2"/>
      <x:c r="K28" s="2"/>
      <x:c r="L28" s="2"/>
      <x:c r="M28" s="2"/>
      <x:c r="N28" s="2"/>
      <x:c r="O28" s="2"/>
      <x:c r="P28" s="2"/>
      <x:c r="Q28" s="2"/>
    </x:row>
    <x:row r="29" ht="22" customHeight="1">
      <x:c r="A29" s="2"/>
      <x:c r="B29" s="2"/>
      <x:c r="C29" s="2" t="str">
        <x:v>pretax income</x:v>
      </x:c>
      <x:c r="D29" s="10" t="n">
        <x:v>144</x:v>
      </x:c>
      <x:c r="E29" s="10" t="n">
        <x:v>165</x:v>
      </x:c>
      <x:c r="F29" s="10" t="n">
        <x:v>-270</x:v>
      </x:c>
      <x:c r="G29" s="3"/>
      <x:c r="H29" s="3" t="str">
        <x:v>PK10K pp. 57–58</x:v>
      </x:c>
      <x:c r="I29" s="3"/>
      <x:c r="J29" s="2"/>
      <x:c r="K29" s="2"/>
      <x:c r="L29" s="2"/>
      <x:c r="M29" s="2"/>
      <x:c r="N29" s="2"/>
      <x:c r="O29" s="2"/>
      <x:c r="P29" s="2"/>
      <x:c r="Q29" s="2"/>
    </x:row>
    <x:row r="30" ht="22" customHeight="1">
      <x:c r="A30" s="2"/>
      <x:c r="B30" s="2"/>
      <x:c r="C30" s="2" t="str">
        <x:v>tax expense</x:v>
      </x:c>
      <x:c r="D30" s="10" t="n">
        <x:v>38</x:v>
      </x:c>
      <x:c r="E30" s="10" t="n">
        <x:v>-61</x:v>
      </x:c>
      <x:c r="F30" s="10" t="n">
        <x:v>7</x:v>
      </x:c>
      <x:c r="G30" s="3"/>
      <x:c r="H30" s="3" t="str">
        <x:v>PK10K pp. 57–58</x:v>
      </x:c>
      <x:c r="I30" s="3"/>
      <x:c r="J30" s="2"/>
      <x:c r="K30" s="2"/>
      <x:c r="L30" s="2"/>
      <x:c r="M30" s="2"/>
      <x:c r="N30" s="2"/>
      <x:c r="O30" s="2"/>
      <x:c r="P30" s="2"/>
      <x:c r="Q30" s="2"/>
    </x:row>
    <x:row r="31" ht="22" customHeight="1">
      <x:c r="A31" s="2"/>
      <x:c r="B31" s="2"/>
      <x:c r="C31" s="2" t="str">
        <x:v>net income</x:v>
      </x:c>
      <x:c r="D31" s="10" t="n">
        <x:v>106</x:v>
      </x:c>
      <x:c r="E31" s="10" t="n">
        <x:v>226</x:v>
      </x:c>
      <x:c r="F31" s="10" t="n">
        <x:v>-277</x:v>
      </x:c>
      <x:c r="G31" s="3"/>
      <x:c r="H31" s="3" t="str">
        <x:v>PK10K pp. 57–58</x:v>
      </x:c>
      <x:c r="I31" s="3"/>
      <x:c r="J31" s="2"/>
      <x:c r="K31" s="2"/>
      <x:c r="L31" s="2"/>
      <x:c r="M31" s="2"/>
      <x:c r="N31" s="2"/>
      <x:c r="O31" s="2"/>
      <x:c r="P31" s="2"/>
      <x:c r="Q31" s="2"/>
    </x:row>
    <x:row r="32" ht="22" customHeight="1">
      <x:c r="A32" s="2"/>
      <x:c r="B32" s="2"/>
      <x:c r="C32" s="2" t="str">
        <x:v>cfo</x:v>
      </x:c>
      <x:c r="D32" s="10" t="n">
        <x:v>503</x:v>
      </x:c>
      <x:c r="E32" s="10" t="n">
        <x:v>429</x:v>
      </x:c>
      <x:c r="F32" s="10" t="n">
        <x:v>398</x:v>
      </x:c>
      <x:c r="G32" s="3"/>
      <x:c r="H32" s="3" t="str">
        <x:v>PK10K pp. 57–58</x:v>
      </x:c>
      <x:c r="I32" s="3"/>
      <x:c r="J32" s="2"/>
      <x:c r="K32" s="2"/>
      <x:c r="L32" s="2"/>
      <x:c r="M32" s="2"/>
      <x:c r="N32" s="2"/>
      <x:c r="O32" s="2"/>
      <x:c r="P32" s="2"/>
      <x:c r="Q32" s="2"/>
    </x:row>
    <x:row r="33" ht="22" customHeight="1">
      <x:c r="A33" s="2"/>
      <x:c r="B33" s="2"/>
      <x:c r="C33" s="2" t="str">
        <x:v>capex</x:v>
      </x:c>
      <x:c r="D33" s="10" t="n">
        <x:v>285</x:v>
      </x:c>
      <x:c r="E33" s="10" t="n">
        <x:v>227</x:v>
      </x:c>
      <x:c r="F33" s="10" t="n">
        <x:v>296</x:v>
      </x:c>
      <x:c r="G33" s="3"/>
      <x:c r="H33" s="3" t="str">
        <x:v>PK10K pp. 57–58</x:v>
      </x:c>
      <x:c r="I33" s="3"/>
      <x:c r="J33" s="2"/>
      <x:c r="K33" s="2"/>
      <x:c r="L33" s="2"/>
      <x:c r="M33" s="2"/>
      <x:c r="N33" s="2"/>
      <x:c r="O33" s="2"/>
      <x:c r="P33" s="2"/>
      <x:c r="Q33" s="2"/>
    </x:row>
    <x:row r="34" ht="22" customHeight="1">
      <x:c r="A34" s="2"/>
      <x:c r="B34" s="2"/>
      <x:c r="C34" s="2" t="str">
        <x:v>cfi</x:v>
      </x:c>
      <x:c r="D34" s="10" t="n">
        <x:v>-217</x:v>
      </x:c>
      <x:c r="E34" s="10" t="n">
        <x:v>-166</x:v>
      </x:c>
      <x:c r="F34" s="10" t="n">
        <x:v>-209</x:v>
      </x:c>
      <x:c r="G34" s="3"/>
      <x:c r="H34" s="3" t="str">
        <x:v>PK10K pp. 57–58</x:v>
      </x:c>
      <x:c r="I34" s="3"/>
      <x:c r="J34" s="2"/>
      <x:c r="K34" s="2"/>
      <x:c r="L34" s="2"/>
      <x:c r="M34" s="2"/>
      <x:c r="N34" s="2"/>
      <x:c r="O34" s="2"/>
      <x:c r="P34" s="2"/>
      <x:c r="Q34" s="2"/>
    </x:row>
    <x:row r="35" ht="22" customHeight="1">
      <x:c r="A35" s="2"/>
      <x:c r="B35" s="2"/>
      <x:c r="C35" s="2" t="str">
        <x:v>cff</x:v>
      </x:c>
      <x:c r="D35" s="10" t="n">
        <x:v>-475</x:v>
      </x:c>
      <x:c r="E35" s="10" t="n">
        <x:v>-573</x:v>
      </x:c>
      <x:c r="F35" s="10" t="n">
        <x:v>-365</x:v>
      </x:c>
      <x:c r="G35" s="3"/>
      <x:c r="H35" s="3" t="str">
        <x:v>PK10K pp. 57–58</x:v>
      </x:c>
      <x:c r="I35" s="3"/>
      <x:c r="J35" s="2"/>
      <x:c r="K35" s="2"/>
      <x:c r="L35" s="2"/>
      <x:c r="M35" s="2"/>
      <x:c r="N35" s="2"/>
      <x:c r="O35" s="2"/>
      <x:c r="P35" s="2"/>
      <x:c r="Q35" s="2"/>
    </x:row>
    <x:row r="36" ht="22" customHeight="1">
      <x:c r="A36" s="2"/>
      <x:c r="B36" s="2"/>
      <x:c r="C36" s="2" t="str">
        <x:v>cash begin restricted</x:v>
      </x:c>
      <x:c r="D36" s="10" t="n">
        <x:v>939</x:v>
      </x:c>
      <x:c r="E36" s="10" t="n">
        <x:v>750</x:v>
      </x:c>
      <x:c r="F36" s="10" t="n">
        <x:v>440</x:v>
      </x:c>
      <x:c r="G36" s="3"/>
      <x:c r="H36" s="3" t="str">
        <x:v>PK10K pp. 57–58</x:v>
      </x:c>
      <x:c r="I36" s="3"/>
      <x:c r="J36" s="2"/>
      <x:c r="K36" s="2"/>
      <x:c r="L36" s="2"/>
      <x:c r="M36" s="2"/>
      <x:c r="N36" s="2"/>
      <x:c r="O36" s="2"/>
      <x:c r="P36" s="2"/>
      <x:c r="Q36" s="2"/>
    </x:row>
    <x:row r="37" ht="22" customHeight="1">
      <x:c r="A37" s="2"/>
      <x:c r="B37" s="2"/>
      <x:c r="C37" s="2" t="str">
        <x:v>cash end restricted</x:v>
      </x:c>
      <x:c r="D37" s="10" t="n">
        <x:v>750</x:v>
      </x:c>
      <x:c r="E37" s="10" t="n">
        <x:v>440</x:v>
      </x:c>
      <x:c r="F37" s="10" t="n">
        <x:v>264</x:v>
      </x:c>
      <x:c r="G37" s="3"/>
      <x:c r="H37" s="3" t="str">
        <x:v>PK10K pp. 57–58</x:v>
      </x:c>
      <x:c r="I37" s="3"/>
      <x:c r="J37" s="2"/>
      <x:c r="K37" s="2"/>
      <x:c r="L37" s="2"/>
      <x:c r="M37" s="2"/>
      <x:c r="N37" s="2"/>
      <x:c r="O37" s="2"/>
      <x:c r="P37" s="2"/>
      <x:c r="Q37" s="2"/>
    </x:row>
    <x:row r="38" ht="22" customHeight="1">
      <x:c r="A38" s="2"/>
      <x:c r="B38" s="2"/>
      <x:c r="C38" s="2"/>
      <x:c r="D38" s="3"/>
      <x:c r="E38" s="3"/>
      <x:c r="F38" s="3"/>
      <x:c r="G38" s="3"/>
      <x:c r="H38" s="3"/>
      <x:c r="I38" s="3"/>
      <x:c r="J38" s="2"/>
      <x:c r="K38" s="2"/>
      <x:c r="L38" s="2"/>
      <x:c r="M38" s="2"/>
      <x:c r="N38" s="2"/>
      <x:c r="O38" s="2"/>
      <x:c r="P38" s="2"/>
      <x:c r="Q38" s="2"/>
    </x:row>
    <x:row r="39" ht="22" customHeight="1">
      <x:c r="A39" s="2"/>
      <x:c r="B39" s="2"/>
      <x:c r="C39" s="2"/>
      <x:c r="D39" s="3"/>
      <x:c r="E39" s="3"/>
      <x:c r="F39" s="3"/>
      <x:c r="G39" s="3"/>
      <x:c r="H39" s="3"/>
      <x:c r="I39" s="3"/>
      <x:c r="J39" s="2"/>
      <x:c r="K39" s="2"/>
      <x:c r="L39" s="2"/>
      <x:c r="M39" s="2"/>
      <x:c r="N39" s="2"/>
      <x:c r="O39" s="2"/>
      <x:c r="P39" s="2"/>
      <x:c r="Q39" s="2"/>
    </x:row>
    <x:row r="40" ht="22" customHeight="1">
      <x:c r="A40" s="2"/>
      <x:c r="B40" s="2"/>
      <x:c r="C40" s="2"/>
      <x:c r="D40" s="3"/>
      <x:c r="E40" s="3"/>
      <x:c r="F40" s="3"/>
      <x:c r="G40" s="3"/>
      <x:c r="H40" s="3"/>
      <x:c r="I40" s="3"/>
      <x:c r="J40" s="2"/>
      <x:c r="K40" s="2"/>
      <x:c r="L40" s="2"/>
      <x:c r="M40" s="2"/>
      <x:c r="N40" s="2"/>
      <x:c r="O40" s="2"/>
      <x:c r="P40" s="2"/>
      <x:c r="Q40" s="2"/>
    </x:row>
    <x:row r="41" ht="22" customHeight="1">
      <x:c r="A41" s="2"/>
      <x:c r="B41" s="2"/>
      <x:c r="C41" s="2"/>
      <x:c r="D41" s="3"/>
      <x:c r="E41" s="3"/>
      <x:c r="F41" s="3"/>
      <x:c r="G41" s="3"/>
      <x:c r="H41" s="3"/>
      <x:c r="I41" s="3"/>
      <x:c r="J41" s="2"/>
      <x:c r="K41" s="2"/>
      <x:c r="L41" s="2"/>
      <x:c r="M41" s="2"/>
      <x:c r="N41" s="2"/>
      <x:c r="O41" s="2"/>
      <x:c r="P41" s="2"/>
      <x:c r="Q41" s="2"/>
    </x:row>
    <x:row r="42" ht="22" customHeight="1">
      <x:c r="A42" s="2"/>
      <x:c r="B42" s="2"/>
      <x:c r="C42" s="2"/>
      <x:c r="D42" s="3"/>
      <x:c r="E42" s="3"/>
      <x:c r="F42" s="3"/>
      <x:c r="G42" s="3"/>
      <x:c r="H42" s="3"/>
      <x:c r="I42" s="3"/>
      <x:c r="J42" s="2"/>
      <x:c r="K42" s="2"/>
      <x:c r="L42" s="2"/>
      <x:c r="M42" s="2"/>
      <x:c r="N42" s="2"/>
      <x:c r="O42" s="2"/>
      <x:c r="P42" s="2"/>
      <x:c r="Q42" s="2"/>
    </x:row>
    <x:row r="43" ht="22" customHeight="1">
      <x:c r="A43" s="2"/>
      <x:c r="B43" s="2"/>
      <x:c r="C43" s="2"/>
      <x:c r="D43" s="3"/>
      <x:c r="E43" s="3"/>
      <x:c r="F43" s="3"/>
      <x:c r="G43" s="3"/>
      <x:c r="H43" s="3"/>
      <x:c r="I43" s="3"/>
      <x:c r="J43" s="2"/>
      <x:c r="K43" s="2"/>
      <x:c r="L43" s="2"/>
      <x:c r="M43" s="2"/>
      <x:c r="N43" s="2"/>
      <x:c r="O43" s="2"/>
      <x:c r="P43" s="2"/>
      <x:c r="Q43" s="2"/>
    </x:row>
    <x:row r="44" ht="22" customHeight="1">
      <x:c r="A44" s="2"/>
      <x:c r="B44" s="2"/>
      <x:c r="C44" s="13" t="str">
        <x:v>December 31, 2025 | Balance sheet and REIT metrics</x:v>
      </x:c>
      <x:c r="D44" s="14"/>
      <x:c r="E44" s="14"/>
      <x:c r="F44" s="14"/>
      <x:c r="G44" s="14"/>
      <x:c r="H44" s="14"/>
      <x:c r="I44" s="3"/>
      <x:c r="J44" s="2"/>
      <x:c r="K44" s="2"/>
      <x:c r="L44" s="2"/>
      <x:c r="M44" s="2"/>
      <x:c r="N44" s="2"/>
      <x:c r="O44" s="2"/>
      <x:c r="P44" s="2"/>
      <x:c r="Q44" s="2"/>
    </x:row>
    <x:row r="45" ht="22" customHeight="1">
      <x:c r="A45" s="2"/>
      <x:c r="B45" s="2"/>
      <x:c r="C45" s="2" t="str">
        <x:v>ppe</x:v>
      </x:c>
      <x:c r="D45" s="10" t="n">
        <x:v>6955</x:v>
      </x:c>
      <x:c r="E45" s="3"/>
      <x:c r="F45" s="3" t="str">
        <x:v>PK10K p. 56</x:v>
      </x:c>
      <x:c r="G45" s="3"/>
      <x:c r="H45" s="3"/>
      <x:c r="I45" s="3"/>
      <x:c r="J45" s="2"/>
      <x:c r="K45" s="2"/>
      <x:c r="L45" s="2"/>
      <x:c r="M45" s="2"/>
      <x:c r="N45" s="2"/>
      <x:c r="O45" s="2"/>
      <x:c r="P45" s="2"/>
      <x:c r="Q45" s="2"/>
    </x:row>
    <x:row r="46" ht="22" customHeight="1">
      <x:c r="A46" s="2"/>
      <x:c r="B46" s="2"/>
      <x:c r="C46" s="2" t="str">
        <x:v>held for sale</x:v>
      </x:c>
      <x:c r="D46" s="10" t="n">
        <x:v>14</x:v>
      </x:c>
      <x:c r="E46" s="3"/>
      <x:c r="F46" s="3" t="str">
        <x:v>PK10K p. 56</x:v>
      </x:c>
      <x:c r="G46" s="3"/>
      <x:c r="H46" s="3"/>
      <x:c r="I46" s="3"/>
      <x:c r="J46" s="2"/>
      <x:c r="K46" s="2"/>
      <x:c r="L46" s="2"/>
      <x:c r="M46" s="2"/>
      <x:c r="N46" s="2"/>
      <x:c r="O46" s="2"/>
      <x:c r="P46" s="2"/>
      <x:c r="Q46" s="2"/>
    </x:row>
    <x:row r="47" ht="22" customHeight="1">
      <x:c r="A47" s="2"/>
      <x:c r="B47" s="2"/>
      <x:c r="C47" s="2" t="str">
        <x:v>intangibles</x:v>
      </x:c>
      <x:c r="D47" s="10" t="n">
        <x:v>41</x:v>
      </x:c>
      <x:c r="E47" s="3"/>
      <x:c r="F47" s="3" t="str">
        <x:v>PK10K p. 56</x:v>
      </x:c>
      <x:c r="G47" s="3"/>
      <x:c r="H47" s="3"/>
      <x:c r="I47" s="3"/>
      <x:c r="J47" s="2"/>
      <x:c r="K47" s="2"/>
      <x:c r="L47" s="2"/>
      <x:c r="M47" s="2"/>
      <x:c r="N47" s="2"/>
      <x:c r="O47" s="2"/>
      <x:c r="P47" s="2"/>
      <x:c r="Q47" s="2"/>
    </x:row>
    <x:row r="48" ht="22" customHeight="1">
      <x:c r="A48" s="2"/>
      <x:c r="B48" s="2"/>
      <x:c r="C48" s="2" t="str">
        <x:v>cash</x:v>
      </x:c>
      <x:c r="D48" s="10" t="n">
        <x:v>232</x:v>
      </x:c>
      <x:c r="E48" s="3"/>
      <x:c r="F48" s="3" t="str">
        <x:v>PK10K p. 56</x:v>
      </x:c>
      <x:c r="G48" s="3"/>
      <x:c r="H48" s="3"/>
      <x:c r="I48" s="3"/>
      <x:c r="J48" s="2"/>
      <x:c r="K48" s="2"/>
      <x:c r="L48" s="2"/>
      <x:c r="M48" s="2"/>
      <x:c r="N48" s="2"/>
      <x:c r="O48" s="2"/>
      <x:c r="P48" s="2"/>
      <x:c r="Q48" s="2"/>
    </x:row>
    <x:row r="49" ht="22" customHeight="1">
      <x:c r="A49" s="2"/>
      <x:c r="B49" s="2"/>
      <x:c r="C49" s="2" t="str">
        <x:v>restricted cash</x:v>
      </x:c>
      <x:c r="D49" s="10" t="n">
        <x:v>32</x:v>
      </x:c>
      <x:c r="E49" s="3"/>
      <x:c r="F49" s="3" t="str">
        <x:v>PK10K p. 56</x:v>
      </x:c>
      <x:c r="G49" s="3"/>
      <x:c r="H49" s="3"/>
      <x:c r="I49" s="3"/>
      <x:c r="J49" s="2"/>
      <x:c r="K49" s="2"/>
      <x:c r="L49" s="2"/>
      <x:c r="M49" s="2"/>
      <x:c r="N49" s="2"/>
      <x:c r="O49" s="2"/>
      <x:c r="P49" s="2"/>
      <x:c r="Q49" s="2"/>
    </x:row>
    <x:row r="50" ht="22" customHeight="1">
      <x:c r="A50" s="2"/>
      <x:c r="B50" s="2"/>
      <x:c r="C50" s="2" t="str">
        <x:v>ar</x:v>
      </x:c>
      <x:c r="D50" s="10" t="n">
        <x:v>116</x:v>
      </x:c>
      <x:c r="E50" s="3"/>
      <x:c r="F50" s="3" t="str">
        <x:v>PK10K p. 56</x:v>
      </x:c>
      <x:c r="G50" s="3"/>
      <x:c r="H50" s="3"/>
      <x:c r="I50" s="3"/>
      <x:c r="J50" s="2"/>
      <x:c r="K50" s="2"/>
      <x:c r="L50" s="2"/>
      <x:c r="M50" s="2"/>
      <x:c r="N50" s="2"/>
      <x:c r="O50" s="2"/>
      <x:c r="P50" s="2"/>
      <x:c r="Q50" s="2"/>
    </x:row>
    <x:row r="51" ht="22" customHeight="1">
      <x:c r="A51" s="2"/>
      <x:c r="B51" s="2"/>
      <x:c r="C51" s="2" t="str">
        <x:v>prepaids</x:v>
      </x:c>
      <x:c r="D51" s="10" t="n">
        <x:v>60</x:v>
      </x:c>
      <x:c r="E51" s="3"/>
      <x:c r="F51" s="3" t="str">
        <x:v>PK10K p. 56</x:v>
      </x:c>
      <x:c r="G51" s="3"/>
      <x:c r="H51" s="3"/>
      <x:c r="I51" s="3"/>
      <x:c r="J51" s="2"/>
      <x:c r="K51" s="2"/>
      <x:c r="L51" s="2"/>
      <x:c r="M51" s="2"/>
      <x:c r="N51" s="2"/>
      <x:c r="O51" s="2"/>
      <x:c r="P51" s="2"/>
      <x:c r="Q51" s="2"/>
    </x:row>
    <x:row r="52" ht="22" customHeight="1">
      <x:c r="A52" s="2"/>
      <x:c r="B52" s="2"/>
      <x:c r="C52" s="2" t="str">
        <x:v>other assets</x:v>
      </x:c>
      <x:c r="D52" s="10" t="n">
        <x:v>80</x:v>
      </x:c>
      <x:c r="E52" s="3"/>
      <x:c r="F52" s="3" t="str">
        <x:v>PK10K p. 56</x:v>
      </x:c>
      <x:c r="G52" s="3"/>
      <x:c r="H52" s="3"/>
      <x:c r="I52" s="3"/>
      <x:c r="J52" s="2"/>
      <x:c r="K52" s="2"/>
      <x:c r="L52" s="2"/>
      <x:c r="M52" s="2"/>
      <x:c r="N52" s="2"/>
      <x:c r="O52" s="2"/>
      <x:c r="P52" s="2"/>
      <x:c r="Q52" s="2"/>
    </x:row>
    <x:row r="53" ht="22" customHeight="1">
      <x:c r="A53" s="2"/>
      <x:c r="B53" s="2"/>
      <x:c r="C53" s="2" t="str">
        <x:v>rou assets</x:v>
      </x:c>
      <x:c r="D53" s="10" t="n">
        <x:v>170</x:v>
      </x:c>
      <x:c r="E53" s="3"/>
      <x:c r="F53" s="3" t="str">
        <x:v>PK10K p. 56</x:v>
      </x:c>
      <x:c r="G53" s="3"/>
      <x:c r="H53" s="3"/>
      <x:c r="I53" s="3"/>
      <x:c r="J53" s="2"/>
      <x:c r="K53" s="2"/>
      <x:c r="L53" s="2"/>
      <x:c r="M53" s="2"/>
      <x:c r="N53" s="2"/>
      <x:c r="O53" s="2"/>
      <x:c r="P53" s="2"/>
      <x:c r="Q53" s="2"/>
    </x:row>
    <x:row r="54" ht="22" customHeight="1">
      <x:c r="A54" s="2"/>
      <x:c r="B54" s="2"/>
      <x:c r="C54" s="2" t="str">
        <x:v>debt book</x:v>
      </x:c>
      <x:c r="D54" s="10" t="n">
        <x:v>3838</x:v>
      </x:c>
      <x:c r="E54" s="3"/>
      <x:c r="F54" s="3" t="str">
        <x:v>PK10K p. 56</x:v>
      </x:c>
      <x:c r="G54" s="3"/>
      <x:c r="H54" s="3"/>
      <x:c r="I54" s="3"/>
      <x:c r="J54" s="2"/>
      <x:c r="K54" s="2"/>
      <x:c r="L54" s="2"/>
      <x:c r="M54" s="2"/>
      <x:c r="N54" s="2"/>
      <x:c r="O54" s="2"/>
      <x:c r="P54" s="2"/>
      <x:c r="Q54" s="2"/>
    </x:row>
    <x:row r="55" ht="22" customHeight="1">
      <x:c r="A55" s="2"/>
      <x:c r="B55" s="2"/>
      <x:c r="C55" s="2" t="str">
        <x:v>ap</x:v>
      </x:c>
      <x:c r="D55" s="10" t="n">
        <x:v>198</x:v>
      </x:c>
      <x:c r="E55" s="3"/>
      <x:c r="F55" s="3" t="str">
        <x:v>PK10K p. 56</x:v>
      </x:c>
      <x:c r="G55" s="3"/>
      <x:c r="H55" s="3"/>
      <x:c r="I55" s="3"/>
      <x:c r="J55" s="2"/>
      <x:c r="K55" s="2"/>
      <x:c r="L55" s="2"/>
      <x:c r="M55" s="2"/>
      <x:c r="N55" s="2"/>
      <x:c r="O55" s="2"/>
      <x:c r="P55" s="2"/>
      <x:c r="Q55" s="2"/>
    </x:row>
    <x:row r="56" ht="22" customHeight="1">
      <x:c r="A56" s="2"/>
      <x:c r="B56" s="2"/>
      <x:c r="C56" s="2" t="str">
        <x:v>dividends payable</x:v>
      </x:c>
      <x:c r="D56" s="10" t="n">
        <x:v>56</x:v>
      </x:c>
      <x:c r="E56" s="3"/>
      <x:c r="F56" s="3" t="str">
        <x:v>PK10K p. 56</x:v>
      </x:c>
      <x:c r="G56" s="3"/>
      <x:c r="H56" s="3"/>
      <x:c r="I56" s="3"/>
      <x:c r="J56" s="2"/>
      <x:c r="K56" s="2"/>
      <x:c r="L56" s="2"/>
      <x:c r="M56" s="2"/>
      <x:c r="N56" s="2"/>
      <x:c r="O56" s="2"/>
      <x:c r="P56" s="2"/>
      <x:c r="Q56" s="2"/>
    </x:row>
    <x:row r="57" ht="22" customHeight="1">
      <x:c r="A57" s="2"/>
      <x:c r="B57" s="2"/>
      <x:c r="C57" s="2" t="str">
        <x:v>managers payable</x:v>
      </x:c>
      <x:c r="D57" s="10" t="n">
        <x:v>134</x:v>
      </x:c>
      <x:c r="E57" s="3"/>
      <x:c r="F57" s="3" t="str">
        <x:v>PK10K p. 56</x:v>
      </x:c>
      <x:c r="G57" s="3"/>
      <x:c r="H57" s="3"/>
      <x:c r="I57" s="3"/>
      <x:c r="J57" s="2"/>
      <x:c r="K57" s="2"/>
      <x:c r="L57" s="2"/>
      <x:c r="M57" s="2"/>
      <x:c r="N57" s="2"/>
      <x:c r="O57" s="2"/>
      <x:c r="P57" s="2"/>
      <x:c r="Q57" s="2"/>
    </x:row>
    <x:row r="58" ht="22" customHeight="1">
      <x:c r="A58" s="2"/>
      <x:c r="B58" s="2"/>
      <x:c r="C58" s="2" t="str">
        <x:v>other liabilities</x:v>
      </x:c>
      <x:c r="D58" s="10" t="n">
        <x:v>189</x:v>
      </x:c>
      <x:c r="E58" s="3"/>
      <x:c r="F58" s="3" t="str">
        <x:v>PK10K p. 56</x:v>
      </x:c>
      <x:c r="G58" s="3"/>
      <x:c r="H58" s="3"/>
      <x:c r="I58" s="3"/>
      <x:c r="J58" s="2"/>
      <x:c r="K58" s="2"/>
      <x:c r="L58" s="2"/>
      <x:c r="M58" s="2"/>
      <x:c r="N58" s="2"/>
      <x:c r="O58" s="2"/>
      <x:c r="P58" s="2"/>
      <x:c r="Q58" s="2"/>
    </x:row>
    <x:row r="59" ht="22" customHeight="1">
      <x:c r="A59" s="2"/>
      <x:c r="B59" s="2"/>
      <x:c r="C59" s="2" t="str">
        <x:v>lease liabilities</x:v>
      </x:c>
      <x:c r="D59" s="10" t="n">
        <x:v>209</x:v>
      </x:c>
      <x:c r="E59" s="3"/>
      <x:c r="F59" s="3" t="str">
        <x:v>PK10K p. 56</x:v>
      </x:c>
      <x:c r="G59" s="3"/>
      <x:c r="H59" s="3"/>
      <x:c r="I59" s="3"/>
      <x:c r="J59" s="2"/>
      <x:c r="K59" s="2"/>
      <x:c r="L59" s="2"/>
      <x:c r="M59" s="2"/>
      <x:c r="N59" s="2"/>
      <x:c r="O59" s="2"/>
      <x:c r="P59" s="2"/>
      <x:c r="Q59" s="2"/>
    </x:row>
    <x:row r="60" ht="22" customHeight="1">
      <x:c r="A60" s="2"/>
      <x:c r="B60" s="2"/>
      <x:c r="C60" s="2" t="str">
        <x:v>equity</x:v>
      </x:c>
      <x:c r="D60" s="10" t="n">
        <x:v>3076</x:v>
      </x:c>
      <x:c r="E60" s="3"/>
      <x:c r="F60" s="3" t="str">
        <x:v>PK10K p. 56</x:v>
      </x:c>
      <x:c r="G60" s="3"/>
      <x:c r="H60" s="3"/>
      <x:c r="I60" s="3"/>
      <x:c r="J60" s="2"/>
      <x:c r="K60" s="2"/>
      <x:c r="L60" s="2"/>
      <x:c r="M60" s="2"/>
      <x:c r="N60" s="2"/>
      <x:c r="O60" s="2"/>
      <x:c r="P60" s="2"/>
      <x:c r="Q60" s="2"/>
    </x:row>
    <x:row r="61" ht="22" customHeight="1">
      <x:c r="A61" s="2"/>
      <x:c r="B61" s="2"/>
      <x:c r="C61" s="2" t="str">
        <x:v>assets</x:v>
      </x:c>
      <x:c r="D61" s="10" t="n">
        <x:v>7700</x:v>
      </x:c>
      <x:c r="E61" s="3"/>
      <x:c r="F61" s="3" t="str">
        <x:v>PK10K p. 56</x:v>
      </x:c>
      <x:c r="G61" s="3"/>
      <x:c r="H61" s="3"/>
      <x:c r="I61" s="3"/>
      <x:c r="J61" s="2"/>
      <x:c r="K61" s="2"/>
      <x:c r="L61" s="2"/>
      <x:c r="M61" s="2"/>
      <x:c r="N61" s="2"/>
      <x:c r="O61" s="2"/>
      <x:c r="P61" s="2"/>
      <x:c r="Q61" s="2"/>
    </x:row>
    <x:row r="62" ht="22" customHeight="1">
      <x:c r="A62" s="2"/>
      <x:c r="B62" s="2"/>
      <x:c r="C62" s="2" t="str">
        <x:v>liabilities</x:v>
      </x:c>
      <x:c r="D62" s="10" t="n">
        <x:v>4624</x:v>
      </x:c>
      <x:c r="E62" s="3"/>
      <x:c r="F62" s="3" t="str">
        <x:v>PK10K p. 56</x:v>
      </x:c>
      <x:c r="G62" s="3"/>
      <x:c r="H62" s="3"/>
      <x:c r="I62" s="3"/>
      <x:c r="J62" s="2"/>
      <x:c r="K62" s="2"/>
      <x:c r="L62" s="2"/>
      <x:c r="M62" s="2"/>
      <x:c r="N62" s="2"/>
      <x:c r="O62" s="2"/>
      <x:c r="P62" s="2"/>
      <x:c r="Q62" s="2"/>
    </x:row>
    <x:row r="63" ht="22" customHeight="1">
      <x:c r="A63" s="2"/>
      <x:c r="B63" s="2"/>
      <x:c r="C63" s="2" t="str">
        <x:v>debt face</x:v>
      </x:c>
      <x:c r="D63" s="10" t="n">
        <x:v>3856</x:v>
      </x:c>
      <x:c r="E63" s="3"/>
      <x:c r="F63" s="3" t="str">
        <x:v>PKER pp. 3, 6, 12–16</x:v>
      </x:c>
      <x:c r="G63" s="3"/>
      <x:c r="H63" s="3"/>
      <x:c r="I63" s="3"/>
      <x:c r="J63" s="2"/>
      <x:c r="K63" s="2"/>
      <x:c r="L63" s="2"/>
      <x:c r="M63" s="2"/>
      <x:c r="N63" s="2"/>
      <x:c r="O63" s="2"/>
      <x:c r="P63" s="2"/>
      <x:c r="Q63" s="2"/>
    </x:row>
    <x:row r="64" ht="22" customHeight="1">
      <x:c r="A64" s="2"/>
      <x:c r="B64" s="2"/>
      <x:c r="C64" s="2" t="str">
        <x:v>jv debt</x:v>
      </x:c>
      <x:c r="D64" s="10" t="n">
        <x:v>129</x:v>
      </x:c>
      <x:c r="E64" s="3"/>
      <x:c r="F64" s="3" t="str">
        <x:v>PKER pp. 3, 6, 12–16</x:v>
      </x:c>
      <x:c r="G64" s="3"/>
      <x:c r="H64" s="3"/>
      <x:c r="I64" s="3"/>
      <x:c r="J64" s="2"/>
      <x:c r="K64" s="2"/>
      <x:c r="L64" s="2"/>
      <x:c r="M64" s="2"/>
      <x:c r="N64" s="2"/>
      <x:c r="O64" s="2"/>
      <x:c r="P64" s="2"/>
      <x:c r="Q64" s="2"/>
    </x:row>
    <x:row r="65" ht="22" customHeight="1">
      <x:c r="A65" s="2"/>
      <x:c r="B65" s="2"/>
      <x:c r="C65" s="2" t="str">
        <x:v>shares</x:v>
      </x:c>
      <x:c r="D65" s="10" t="n">
        <x:v>199.901086</x:v>
      </x:c>
      <x:c r="E65" s="3"/>
      <x:c r="F65" s="3" t="str">
        <x:v>PK10K p. 56</x:v>
      </x:c>
      <x:c r="G65" s="3"/>
      <x:c r="H65" s="3"/>
      <x:c r="I65" s="3"/>
      <x:c r="J65" s="2"/>
      <x:c r="K65" s="2"/>
      <x:c r="L65" s="2"/>
      <x:c r="M65" s="2"/>
      <x:c r="N65" s="2"/>
      <x:c r="O65" s="2"/>
      <x:c r="P65" s="2"/>
      <x:c r="Q65" s="2"/>
    </x:row>
    <x:row r="66" ht="22" customHeight="1">
      <x:c r="A66" s="2"/>
      <x:c r="B66" s="2"/>
      <x:c r="C66" s="2" t="str">
        <x:v>adjusted ebitda</x:v>
      </x:c>
      <x:c r="D66" s="10" t="n">
        <x:v>609</x:v>
      </x:c>
      <x:c r="E66" s="3"/>
      <x:c r="F66" s="3" t="str">
        <x:v>PKER pp. 3, 6, 12–16</x:v>
      </x:c>
      <x:c r="G66" s="3"/>
      <x:c r="H66" s="3"/>
      <x:c r="I66" s="3"/>
      <x:c r="J66" s="2"/>
      <x:c r="K66" s="2"/>
      <x:c r="L66" s="2"/>
      <x:c r="M66" s="2"/>
      <x:c r="N66" s="2"/>
      <x:c r="O66" s="2"/>
      <x:c r="P66" s="2"/>
      <x:c r="Q66" s="2"/>
    </x:row>
    <x:row r="67" ht="22" customHeight="1">
      <x:c r="A67" s="2"/>
      <x:c r="B67" s="2"/>
      <x:c r="C67" s="2" t="str">
        <x:v>jv ebitda</x:v>
      </x:c>
      <x:c r="D67" s="10" t="n">
        <x:v>19</x:v>
      </x:c>
      <x:c r="E67" s="3"/>
      <x:c r="F67" s="3" t="str">
        <x:v>PKER pp. 3, 6, 12–16</x:v>
      </x:c>
      <x:c r="G67" s="3"/>
      <x:c r="H67" s="3"/>
      <x:c r="I67" s="3"/>
      <x:c r="J67" s="2"/>
      <x:c r="K67" s="2"/>
      <x:c r="L67" s="2"/>
      <x:c r="M67" s="2"/>
      <x:c r="N67" s="2"/>
      <x:c r="O67" s="2"/>
      <x:c r="P67" s="2"/>
      <x:c r="Q67" s="2"/>
    </x:row>
    <x:row r="68" ht="22" customHeight="1">
      <x:c r="A68" s="2"/>
      <x:c r="B68" s="2"/>
      <x:c r="C68" s="2" t="str">
        <x:v>hotel ebitda</x:v>
      </x:c>
      <x:c r="D68" s="10" t="n">
        <x:v>644</x:v>
      </x:c>
      <x:c r="E68" s="3"/>
      <x:c r="F68" s="3" t="str">
        <x:v>PKER pp. 3, 6, 12–16</x:v>
      </x:c>
      <x:c r="G68" s="3"/>
      <x:c r="H68" s="3"/>
      <x:c r="I68" s="3"/>
      <x:c r="J68" s="2"/>
      <x:c r="K68" s="2"/>
      <x:c r="L68" s="2"/>
      <x:c r="M68" s="2"/>
      <x:c r="N68" s="2"/>
      <x:c r="O68" s="2"/>
      <x:c r="P68" s="2"/>
      <x:c r="Q68" s="2"/>
    </x:row>
    <x:row r="69" ht="22" customHeight="1">
      <x:c r="A69" s="2"/>
      <x:c r="B69" s="2"/>
      <x:c r="C69" s="2" t="str">
        <x:v>core ebitda</x:v>
      </x:c>
      <x:c r="D69" s="10" t="n">
        <x:v>586</x:v>
      </x:c>
      <x:c r="E69" s="3"/>
      <x:c r="F69" s="3" t="str">
        <x:v>PKER pp. 3, 6, 12–16</x:v>
      </x:c>
      <x:c r="G69" s="3"/>
      <x:c r="H69" s="3"/>
      <x:c r="I69" s="3"/>
      <x:c r="J69" s="2"/>
      <x:c r="K69" s="2"/>
      <x:c r="L69" s="2"/>
      <x:c r="M69" s="2"/>
      <x:c r="N69" s="2"/>
      <x:c r="O69" s="2"/>
      <x:c r="P69" s="2"/>
      <x:c r="Q69" s="2"/>
    </x:row>
    <x:row r="70" ht="22" customHeight="1">
      <x:c r="A70" s="2"/>
      <x:c r="B70" s="2"/>
      <x:c r="C70" s="2" t="str">
        <x:v>core revenue</x:v>
      </x:c>
      <x:c r="D70" s="10" t="n">
        <x:v>2006</x:v>
      </x:c>
      <x:c r="E70" s="3"/>
      <x:c r="F70" s="3" t="str">
        <x:v>PKER pp. 3, 6, 12–16</x:v>
      </x:c>
      <x:c r="G70" s="3"/>
      <x:c r="H70" s="3"/>
      <x:c r="I70" s="3"/>
      <x:c r="J70" s="2"/>
      <x:c r="K70" s="2"/>
      <x:c r="L70" s="2"/>
      <x:c r="M70" s="2"/>
      <x:c r="N70" s="2"/>
      <x:c r="O70" s="2"/>
      <x:c r="P70" s="2"/>
      <x:c r="Q70" s="2"/>
    </x:row>
    <x:row r="71" ht="22" customHeight="1">
      <x:c r="A71" s="2"/>
      <x:c r="B71" s="2"/>
      <x:c r="C71" s="2" t="str">
        <x:v>adjusted ffo</x:v>
      </x:c>
      <x:c r="D71" s="10" t="n">
        <x:v>394</x:v>
      </x:c>
      <x:c r="E71" s="3"/>
      <x:c r="F71" s="3" t="str">
        <x:v>PKER pp. 3, 6, 12–16</x:v>
      </x:c>
      <x:c r="G71" s="3"/>
      <x:c r="H71" s="3"/>
      <x:c r="I71" s="3"/>
      <x:c r="J71" s="2"/>
      <x:c r="K71" s="2"/>
      <x:c r="L71" s="2"/>
      <x:c r="M71" s="2"/>
      <x:c r="N71" s="2"/>
      <x:c r="O71" s="2"/>
      <x:c r="P71" s="2"/>
      <x:c r="Q71" s="2"/>
    </x:row>
    <x:row r="72" ht="22" customHeight="1">
      <x:c r="A72" s="2"/>
      <x:c r="B72" s="2"/>
      <x:c r="C72" s="2"/>
      <x:c r="D72" s="3"/>
      <x:c r="E72" s="3"/>
      <x:c r="F72" s="3"/>
      <x:c r="G72" s="3"/>
      <x:c r="H72" s="3"/>
      <x:c r="I72" s="3"/>
      <x:c r="J72" s="2"/>
      <x:c r="K72" s="2"/>
      <x:c r="L72" s="2"/>
      <x:c r="M72" s="2"/>
      <x:c r="N72" s="2"/>
      <x:c r="O72" s="2"/>
      <x:c r="P72" s="2"/>
      <x:c r="Q72" s="2"/>
    </x:row>
    <x:row r="73" ht="22" customHeight="1">
      <x:c r="A73" s="2"/>
      <x:c r="B73" s="2"/>
      <x:c r="C73" s="2"/>
      <x:c r="D73" s="3"/>
      <x:c r="E73" s="3"/>
      <x:c r="F73" s="3"/>
      <x:c r="G73" s="3"/>
      <x:c r="H73" s="3"/>
      <x:c r="I73" s="3"/>
      <x:c r="J73" s="2"/>
      <x:c r="K73" s="2"/>
      <x:c r="L73" s="2"/>
      <x:c r="M73" s="2"/>
      <x:c r="N73" s="2"/>
      <x:c r="O73" s="2"/>
      <x:c r="P73" s="2"/>
      <x:c r="Q73" s="2"/>
    </x:row>
    <x:row r="74" ht="22" customHeight="1">
      <x:c r="A74" s="2"/>
      <x:c r="B74" s="2"/>
      <x:c r="C74" s="2"/>
      <x:c r="D74" s="3"/>
      <x:c r="E74" s="3"/>
      <x:c r="F74" s="3"/>
      <x:c r="G74" s="3"/>
      <x:c r="H74" s="3"/>
      <x:c r="I74" s="3"/>
      <x:c r="J74" s="2"/>
      <x:c r="K74" s="2"/>
      <x:c r="L74" s="2"/>
      <x:c r="M74" s="2"/>
      <x:c r="N74" s="2"/>
      <x:c r="O74" s="2"/>
      <x:c r="P74" s="2"/>
      <x:c r="Q74" s="2"/>
    </x:row>
    <x:row r="75" ht="22" customHeight="1">
      <x:c r="A75" s="2"/>
      <x:c r="B75" s="2"/>
      <x:c r="C75" s="2"/>
      <x:c r="D75" s="3"/>
      <x:c r="E75" s="3"/>
      <x:c r="F75" s="3"/>
      <x:c r="G75" s="3"/>
      <x:c r="H75" s="3"/>
      <x:c r="I75" s="3"/>
      <x:c r="J75" s="2"/>
      <x:c r="K75" s="2"/>
      <x:c r="L75" s="2"/>
      <x:c r="M75" s="2"/>
      <x:c r="N75" s="2"/>
      <x:c r="O75" s="2"/>
      <x:c r="P75" s="2"/>
      <x:c r="Q75" s="2"/>
    </x:row>
    <x:row r="76" ht="22" customHeight="1">
      <x:c r="A76" s="2"/>
      <x:c r="B76" s="2"/>
      <x:c r="C76" s="2"/>
      <x:c r="D76" s="3"/>
      <x:c r="E76" s="3"/>
      <x:c r="F76" s="3"/>
      <x:c r="G76" s="3"/>
      <x:c r="H76" s="3"/>
      <x:c r="I76" s="3"/>
      <x:c r="J76" s="2"/>
      <x:c r="K76" s="2"/>
      <x:c r="L76" s="2"/>
      <x:c r="M76" s="2"/>
      <x:c r="N76" s="2"/>
      <x:c r="O76" s="2"/>
      <x:c r="P76" s="2"/>
      <x:c r="Q76" s="2"/>
    </x:row>
    <x:row r="77" ht="22" customHeight="1">
      <x:c r="A77" s="2"/>
      <x:c r="B77" s="2"/>
      <x:c r="C77" s="2"/>
      <x:c r="D77" s="3"/>
      <x:c r="E77" s="3"/>
      <x:c r="F77" s="3"/>
      <x:c r="G77" s="3"/>
      <x:c r="H77" s="3"/>
      <x:c r="I77" s="3"/>
      <x:c r="J77" s="2"/>
      <x:c r="K77" s="2"/>
      <x:c r="L77" s="2"/>
      <x:c r="M77" s="2"/>
      <x:c r="N77" s="2"/>
      <x:c r="O77" s="2"/>
      <x:c r="P77" s="2"/>
      <x:c r="Q77" s="2"/>
    </x:row>
    <x:row r="78" ht="22" customHeight="1">
      <x:c r="A78" s="2"/>
      <x:c r="B78" s="2"/>
      <x:c r="C78" s="2"/>
      <x:c r="D78" s="3"/>
      <x:c r="E78" s="3"/>
      <x:c r="F78" s="3"/>
      <x:c r="G78" s="3"/>
      <x:c r="H78" s="3"/>
      <x:c r="I78" s="3"/>
      <x:c r="J78" s="2"/>
      <x:c r="K78" s="2"/>
      <x:c r="L78" s="2"/>
      <x:c r="M78" s="2"/>
      <x:c r="N78" s="2"/>
      <x:c r="O78" s="2"/>
      <x:c r="P78" s="2"/>
      <x:c r="Q78" s="2"/>
    </x:row>
    <x:row r="79" ht="22" customHeight="1">
      <x:c r="A79" s="2"/>
      <x:c r="B79" s="2"/>
      <x:c r="C79" s="2"/>
      <x:c r="D79" s="3"/>
      <x:c r="E79" s="3"/>
      <x:c r="F79" s="3"/>
      <x:c r="G79" s="3"/>
      <x:c r="H79" s="3"/>
      <x:c r="I79" s="3"/>
      <x:c r="J79" s="2"/>
      <x:c r="K79" s="2"/>
      <x:c r="L79" s="2"/>
      <x:c r="M79" s="2"/>
      <x:c r="N79" s="2"/>
      <x:c r="O79" s="2"/>
      <x:c r="P79" s="2"/>
      <x:c r="Q79" s="2"/>
    </x:row>
    <x:row r="80" ht="22" customHeight="1">
      <x:c r="A80" s="2"/>
      <x:c r="B80" s="2"/>
      <x:c r="C80" s="13" t="str">
        <x:v>Source register | direct public links</x:v>
      </x:c>
      <x:c r="D80" s="14"/>
      <x:c r="E80" s="14"/>
      <x:c r="F80" s="14"/>
      <x:c r="G80" s="14"/>
      <x:c r="H80" s="14"/>
      <x:c r="I80" s="3"/>
      <x:c r="J80" s="2"/>
      <x:c r="K80" s="2"/>
      <x:c r="L80" s="2"/>
      <x:c r="M80" s="2"/>
      <x:c r="N80" s="2"/>
      <x:c r="O80" s="2"/>
      <x:c r="P80" s="2"/>
      <x:c r="Q80" s="2"/>
    </x:row>
    <x:row r="81" ht="22" customHeight="1">
      <x:c r="A81" s="2"/>
      <x:c r="B81" s="2"/>
      <x:c r="C81" s="2"/>
      <x:c r="D81" s="3"/>
      <x:c r="E81" s="3"/>
      <x:c r="F81" s="3"/>
      <x:c r="G81" s="3"/>
      <x:c r="H81" s="3"/>
      <x:c r="I81" s="3"/>
      <x:c r="J81" s="2"/>
      <x:c r="K81" s="2"/>
      <x:c r="L81" s="2"/>
      <x:c r="M81" s="2"/>
      <x:c r="N81" s="2"/>
      <x:c r="O81" s="2"/>
      <x:c r="P81" s="2"/>
      <x:c r="Q81" s="2"/>
    </x:row>
    <x:row r="82" ht="22" customHeight="1">
      <x:c r="A82" s="2"/>
      <x:c r="B82" s="2"/>
      <x:c r="C82" s="2" t="str">
        <x:v>PK10K</x:v>
      </x:c>
      <x:c r="D82" s="3" t="str">
        <x:v>Park 2025 Form 10-K</x:v>
      </x:c>
      <x:c r="E82" s="3"/>
      <x:c r="F82" s="3"/>
      <x:c r="G82" s="3" t="str">
        <x:v>2026-02-20</x:v>
      </x:c>
      <x:c r="H82" s="3"/>
      <x:c r="I82" s="3"/>
      <x:c r="J82" s="2"/>
      <x:c r="K82" s="2" t="str">
        <x:v>https://www.sec.gov/Archives/edgar/data/1617406/000161740626000006/pk-20251231.htm</x:v>
      </x:c>
      <x:c r="L82" s="2"/>
      <x:c r="M82" s="2"/>
      <x:c r="N82" s="2"/>
      <x:c r="O82" s="2"/>
      <x:c r="P82" s="2"/>
      <x:c r="Q82" s="2"/>
    </x:row>
    <x:row r="83" ht="22" customHeight="1">
      <x:c r="A83" s="2"/>
      <x:c r="B83" s="2"/>
      <x:c r="C83" s="2" t="str">
        <x:v>PKER</x:v>
      </x:c>
      <x:c r="D83" s="3" t="str">
        <x:v>Park FY2025 earnings release</x:v>
      </x:c>
      <x:c r="E83" s="3"/>
      <x:c r="F83" s="3"/>
      <x:c r="G83" s="3" t="str">
        <x:v>2026-02-19</x:v>
      </x:c>
      <x:c r="H83" s="3"/>
      <x:c r="I83" s="3"/>
      <x:c r="J83" s="2"/>
      <x:c r="K83" s="2" t="str">
        <x:v>https://www.pkhotelsandresorts.com/~/media/Files/P/Park-Hotels/reports-and-presentations/q4-2025-earnings-press-release.pdf</x:v>
      </x:c>
      <x:c r="L83" s="2"/>
      <x:c r="M83" s="2"/>
      <x:c r="N83" s="2"/>
      <x:c r="O83" s="2"/>
      <x:c r="P83" s="2"/>
      <x:c r="Q83" s="2"/>
    </x:row>
    <x:row r="84" ht="22" customHeight="1">
      <x:c r="A84" s="2"/>
      <x:c r="B84" s="2"/>
      <x:c r="C84" s="2" t="str">
        <x:v>PKSUP</x:v>
      </x:c>
      <x:c r="D84" s="3" t="str">
        <x:v>Park Q4 2025 supplement</x:v>
      </x:c>
      <x:c r="E84" s="3"/>
      <x:c r="F84" s="3"/>
      <x:c r="G84" s="3" t="str">
        <x:v>2026-02-19</x:v>
      </x:c>
      <x:c r="H84" s="3"/>
      <x:c r="I84" s="3"/>
      <x:c r="J84" s="2"/>
      <x:c r="K84" s="2" t="str">
        <x:v>https://www.pkhotelsandresorts.com/~/media/Files/P/Park-Hotels/reports-and-presentations/q4-25-supplemental-data.pdf</x:v>
      </x:c>
      <x:c r="L84" s="2"/>
      <x:c r="M84" s="2"/>
      <x:c r="N84" s="2"/>
      <x:c r="O84" s="2"/>
      <x:c r="P84" s="2"/>
      <x:c r="Q84" s="2"/>
    </x:row>
    <x:row r="85" ht="22" customHeight="1">
      <x:c r="A85" s="2"/>
      <x:c r="B85" s="2"/>
      <x:c r="C85" s="2" t="str">
        <x:v>HSTER</x:v>
      </x:c>
      <x:c r="D85" s="3" t="str">
        <x:v>Host FY2025 earnings release</x:v>
      </x:c>
      <x:c r="E85" s="3"/>
      <x:c r="F85" s="3"/>
      <x:c r="G85" s="3" t="str">
        <x:v>2026-02-18</x:v>
      </x:c>
      <x:c r="H85" s="3"/>
      <x:c r="I85" s="3"/>
      <x:c r="J85" s="2"/>
      <x:c r="K85" s="2" t="str">
        <x:v>https://www.hosthotels.com/-/media/HostHotels/Files/DownloadLinksAssets/QuarterlyEarnings/2025/Host_Hotels_Resorts_Inc_2025_Q4_Earnings.pdf</x:v>
      </x:c>
      <x:c r="L85" s="2"/>
      <x:c r="M85" s="2"/>
      <x:c r="N85" s="2"/>
      <x:c r="O85" s="2"/>
      <x:c r="P85" s="2"/>
      <x:c r="Q85" s="2"/>
    </x:row>
    <x:row r="86" ht="22" customHeight="1">
      <x:c r="A86" s="2"/>
      <x:c r="B86" s="2"/>
      <x:c r="C86" s="2" t="str">
        <x:v>HSTSUP</x:v>
      </x:c>
      <x:c r="D86" s="3" t="str">
        <x:v>Host Q4 2025 supplement</x:v>
      </x:c>
      <x:c r="E86" s="3"/>
      <x:c r="F86" s="3"/>
      <x:c r="G86" s="3" t="str">
        <x:v>2026-02-18</x:v>
      </x:c>
      <x:c r="H86" s="3"/>
      <x:c r="I86" s="3"/>
      <x:c r="J86" s="2"/>
      <x:c r="K86" s="2" t="str">
        <x:v>https://www.hosthotels.com/-/media/HostHotels/Files/DownloadLinksAssets/QuarterlySupplementals/2025/Host_Hotels_Resorts_Inc_2025_Q4_Supplemental.pdf</x:v>
      </x:c>
      <x:c r="L86" s="2"/>
      <x:c r="M86" s="2"/>
      <x:c r="N86" s="2"/>
      <x:c r="O86" s="2"/>
      <x:c r="P86" s="2"/>
      <x:c r="Q86" s="2"/>
    </x:row>
    <x:row r="87" ht="22" customHeight="1">
      <x:c r="A87" s="2"/>
      <x:c r="B87" s="2"/>
      <x:c r="C87" s="2" t="str">
        <x:v>PEBER</x:v>
      </x:c>
      <x:c r="D87" s="3" t="str">
        <x:v>Pebblebrook FY2025 results</x:v>
      </x:c>
      <x:c r="E87" s="3"/>
      <x:c r="F87" s="3"/>
      <x:c r="G87" s="3" t="str">
        <x:v>2026-02-25</x:v>
      </x:c>
      <x:c r="H87" s="3"/>
      <x:c r="I87" s="3"/>
      <x:c r="J87" s="2"/>
      <x:c r="K87" s="2" t="str">
        <x:v>https://investor.pebblebrookhotels.com/news-1/news-releases/news-details/2026/Pebblebrook-Hotel-Trust-Reports-2025-Results-and-Provides-2026-Outlook/default.aspx</x:v>
      </x:c>
      <x:c r="L87" s="2"/>
      <x:c r="M87" s="2"/>
      <x:c r="N87" s="2"/>
      <x:c r="O87" s="2"/>
      <x:c r="P87" s="2"/>
      <x:c r="Q87" s="2"/>
    </x:row>
    <x:row r="88" ht="22" customHeight="1">
      <x:c r="A88" s="2"/>
      <x:c r="B88" s="2"/>
      <x:c r="C88" s="2" t="str">
        <x:v>PKPRICE</x:v>
      </x:c>
      <x:c r="D88" s="3" t="str">
        <x:v>PK historical unadjusted closing price</x:v>
      </x:c>
      <x:c r="E88" s="3"/>
      <x:c r="F88" s="3"/>
      <x:c r="G88" s="3" t="str">
        <x:v>2025-12-31</x:v>
      </x:c>
      <x:c r="H88" s="3"/>
      <x:c r="I88" s="3"/>
      <x:c r="J88" s="2"/>
      <x:c r="K88" s="2" t="str">
        <x:v>https://www.quiverquant.com/stock/PK/historical-prices/</x:v>
      </x:c>
      <x:c r="L88" s="2"/>
      <x:c r="M88" s="2"/>
      <x:c r="N88" s="2"/>
      <x:c r="O88" s="2"/>
      <x:c r="P88" s="2"/>
      <x:c r="Q88" s="2"/>
    </x:row>
    <x:row r="89" ht="22" customHeight="1">
      <x:c r="A89" s="2"/>
      <x:c r="B89" s="2"/>
      <x:c r="C89" s="2" t="str">
        <x:v>PEBPRICE</x:v>
      </x:c>
      <x:c r="D89" s="3" t="str">
        <x:v>PEB historical unadjusted closing price</x:v>
      </x:c>
      <x:c r="E89" s="3"/>
      <x:c r="F89" s="3"/>
      <x:c r="G89" s="3" t="str">
        <x:v>2025-12-31</x:v>
      </x:c>
      <x:c r="H89" s="3"/>
      <x:c r="I89" s="3"/>
      <x:c r="J89" s="2"/>
      <x:c r="K89" s="2" t="str">
        <x:v>https://www.quiverquant.com/stock/PEB/historical-prices/</x:v>
      </x:c>
      <x:c r="L89" s="2"/>
      <x:c r="M89" s="2"/>
      <x:c r="N89" s="2"/>
      <x:c r="O89" s="2"/>
      <x:c r="P89" s="2"/>
      <x:c r="Q89" s="2"/>
    </x:row>
    <x:row r="90" ht="22" customHeight="1">
      <x:c r="A90" s="2"/>
      <x:c r="B90" s="2"/>
      <x:c r="C90" s="2" t="str">
        <x:v>HERSHA</x:v>
      </x:c>
      <x:c r="D90" s="3" t="str">
        <x:v>KSL acquisition of Hersha — transaction counsel announcement</x:v>
      </x:c>
      <x:c r="E90" s="3"/>
      <x:c r="F90" s="3"/>
      <x:c r="G90" s="3" t="str">
        <x:v>2023-08-28</x:v>
      </x:c>
      <x:c r="H90" s="3"/>
      <x:c r="I90" s="3"/>
      <x:c r="J90" s="2"/>
      <x:c r="K90" s="2" t="str">
        <x:v>https://www.stblaw.com/about-us/news/view/2023/08/28/ksl-capital-partners-to-acquire-hersha-hospitality-trust</x:v>
      </x:c>
      <x:c r="L90" s="2"/>
      <x:c r="M90" s="2"/>
      <x:c r="N90" s="2"/>
      <x:c r="O90" s="2"/>
      <x:c r="P90" s="2"/>
      <x:c r="Q90" s="2"/>
    </x:row>
    <x:row r="91" ht="22" customHeight="1">
      <x:c r="A91" s="2"/>
      <x:c r="B91" s="2"/>
      <x:c r="C91" s="2" t="str">
        <x:v>WATERMARK</x:v>
      </x:c>
      <x:c r="D91" s="3" t="str">
        <x:v>Watermark issuer acquisition announcement</x:v>
      </x:c>
      <x:c r="E91" s="3"/>
      <x:c r="F91" s="3"/>
      <x:c r="G91" s="3" t="str">
        <x:v>2022-05-06</x:v>
      </x:c>
      <x:c r="H91" s="3"/>
      <x:c r="I91" s="3"/>
      <x:c r="J91" s="2"/>
      <x:c r="K91" s="2" t="str">
        <x:v>https://www.prnewswire.com/news-releases/watermark-lodging-trust-to-be-acquired-by-brookfield-real-estate-funds-301542036.html</x:v>
      </x:c>
      <x:c r="L91" s="2"/>
      <x:c r="M91" s="2"/>
      <x:c r="N91" s="2"/>
      <x:c r="O91" s="2"/>
      <x:c r="P91" s="2"/>
      <x:c r="Q91" s="2"/>
    </x:row>
    <x:row r="92" ht="22" customHeight="1">
      <x:c r="A92" s="2"/>
      <x:c r="B92" s="2"/>
      <x:c r="C92" s="2"/>
      <x:c r="D92" s="3"/>
      <x:c r="E92" s="3"/>
      <x:c r="F92" s="3"/>
      <x:c r="G92" s="3"/>
      <x:c r="H92" s="3"/>
      <x:c r="I92" s="3"/>
      <x:c r="J92" s="2"/>
      <x:c r="K92" s="2"/>
      <x:c r="L92" s="2"/>
      <x:c r="M92" s="2"/>
      <x:c r="N92" s="2"/>
      <x:c r="O92" s="2"/>
      <x:c r="P92" s="2"/>
      <x:c r="Q92" s="2"/>
    </x:row>
    <x:row r="93" ht="22" customHeight="1">
      <x:c r="A93" s="2"/>
      <x:c r="B93" s="2"/>
      <x:c r="C93" s="2"/>
      <x:c r="D93" s="3"/>
      <x:c r="E93" s="3"/>
      <x:c r="F93" s="3"/>
      <x:c r="G93" s="3"/>
      <x:c r="H93" s="3"/>
      <x:c r="I93" s="3"/>
      <x:c r="J93" s="2"/>
      <x:c r="K93" s="2"/>
      <x:c r="L93" s="2"/>
      <x:c r="M93" s="2"/>
      <x:c r="N93" s="2"/>
      <x:c r="O93" s="2"/>
      <x:c r="P93" s="2"/>
      <x:c r="Q93" s="2"/>
    </x:row>
    <x:row r="94" ht="22" customHeight="1">
      <x:c r="A94" s="2"/>
      <x:c r="B94" s="2"/>
      <x:c r="C94" s="2"/>
      <x:c r="D94" s="3"/>
      <x:c r="E94" s="3"/>
      <x:c r="F94" s="3"/>
      <x:c r="G94" s="3"/>
      <x:c r="H94" s="3"/>
      <x:c r="I94" s="3"/>
      <x:c r="J94" s="2"/>
      <x:c r="K94" s="2"/>
      <x:c r="L94" s="2"/>
      <x:c r="M94" s="2"/>
      <x:c r="N94" s="2"/>
      <x:c r="O94" s="2"/>
      <x:c r="P94" s="2"/>
      <x:c r="Q94" s="2"/>
    </x:row>
    <x:row r="95" ht="22" customHeight="1">
      <x:c r="A95" s="2"/>
      <x:c r="B95" s="2"/>
      <x:c r="C95" s="2"/>
      <x:c r="D95" s="3"/>
      <x:c r="E95" s="3"/>
      <x:c r="F95" s="3"/>
      <x:c r="G95" s="3"/>
      <x:c r="H95" s="3"/>
      <x:c r="I95" s="3"/>
      <x:c r="J95" s="2"/>
      <x:c r="K95" s="2"/>
      <x:c r="L95" s="2"/>
      <x:c r="M95" s="2"/>
      <x:c r="N95" s="2"/>
      <x:c r="O95" s="2"/>
      <x:c r="P95" s="2"/>
      <x:c r="Q95" s="2"/>
    </x:row>
    <x:row r="96" ht="22" customHeight="1">
      <x:c r="A96" s="2"/>
      <x:c r="B96" s="2"/>
      <x:c r="C96" s="2"/>
      <x:c r="D96" s="3"/>
      <x:c r="E96" s="3"/>
      <x:c r="F96" s="3"/>
      <x:c r="G96" s="3"/>
      <x:c r="H96" s="3"/>
      <x:c r="I96" s="3"/>
      <x:c r="J96" s="2"/>
      <x:c r="K96" s="2"/>
      <x:c r="L96" s="2"/>
      <x:c r="M96" s="2"/>
      <x:c r="N96" s="2"/>
      <x:c r="O96" s="2"/>
      <x:c r="P96" s="2"/>
      <x:c r="Q96" s="2"/>
    </x:row>
    <x:row r="97" ht="22" customHeight="1">
      <x:c r="A97" s="2"/>
      <x:c r="B97" s="2"/>
      <x:c r="C97" s="2"/>
      <x:c r="D97" s="3"/>
      <x:c r="E97" s="3"/>
      <x:c r="F97" s="3"/>
      <x:c r="G97" s="3"/>
      <x:c r="H97" s="3"/>
      <x:c r="I97" s="3"/>
      <x:c r="J97" s="2"/>
      <x:c r="K97" s="2"/>
      <x:c r="L97" s="2"/>
      <x:c r="M97" s="2"/>
      <x:c r="N97" s="2"/>
      <x:c r="O97" s="2"/>
      <x:c r="P97" s="2"/>
      <x:c r="Q97" s="2"/>
    </x:row>
    <x:row r="98" ht="22" customHeight="1">
      <x:c r="A98" s="2"/>
      <x:c r="B98" s="2"/>
      <x:c r="C98" s="2"/>
      <x:c r="D98" s="3"/>
      <x:c r="E98" s="3"/>
      <x:c r="F98" s="3"/>
      <x:c r="G98" s="3"/>
      <x:c r="H98" s="3"/>
      <x:c r="I98" s="3"/>
      <x:c r="J98" s="2"/>
      <x:c r="K98" s="2"/>
      <x:c r="L98" s="2"/>
      <x:c r="M98" s="2"/>
      <x:c r="N98" s="2"/>
      <x:c r="O98" s="2"/>
      <x:c r="P98" s="2"/>
      <x:c r="Q98" s="2"/>
    </x:row>
    <x:row r="99" ht="22" customHeight="1">
      <x:c r="A99" s="2"/>
      <x:c r="B99" s="2"/>
      <x:c r="C99" s="2"/>
      <x:c r="D99" s="3"/>
      <x:c r="E99" s="3"/>
      <x:c r="F99" s="3"/>
      <x:c r="G99" s="3"/>
      <x:c r="H99" s="3"/>
      <x:c r="I99" s="3"/>
      <x:c r="J99" s="2"/>
      <x:c r="K99" s="2"/>
      <x:c r="L99" s="2"/>
      <x:c r="M99" s="2"/>
      <x:c r="N99" s="2"/>
      <x:c r="O99" s="2"/>
      <x:c r="P99" s="2"/>
      <x:c r="Q99" s="2"/>
    </x:row>
    <x:row r="100" ht="22" customHeight="1">
      <x:c r="A100" s="2"/>
      <x:c r="B100" s="2"/>
      <x:c r="C100" s="2"/>
      <x:c r="D100" s="3"/>
      <x:c r="E100" s="3"/>
      <x:c r="F100" s="3"/>
      <x:c r="G100" s="3"/>
      <x:c r="H100" s="3"/>
      <x:c r="I100" s="3"/>
      <x:c r="J100" s="2"/>
      <x:c r="K100" s="2"/>
      <x:c r="L100" s="2"/>
      <x:c r="M100" s="2"/>
      <x:c r="N100" s="2"/>
      <x:c r="O100" s="2"/>
      <x:c r="P100" s="2"/>
      <x:c r="Q100" s="2"/>
    </x:row>
    <x:row r="101" ht="22" customHeight="1">
      <x:c r="A101" s="2"/>
      <x:c r="B101" s="2"/>
      <x:c r="C101" s="2"/>
      <x:c r="D101" s="3"/>
      <x:c r="E101" s="3"/>
      <x:c r="F101" s="3"/>
      <x:c r="G101" s="3"/>
      <x:c r="H101" s="3"/>
      <x:c r="I101" s="3"/>
      <x:c r="J101" s="2"/>
      <x:c r="K101" s="2"/>
      <x:c r="L101" s="2"/>
      <x:c r="M101" s="2"/>
      <x:c r="N101" s="2"/>
      <x:c r="O101" s="2"/>
      <x:c r="P101" s="2"/>
      <x:c r="Q101" s="2"/>
    </x:row>
    <x:row r="102" ht="22" customHeight="1">
      <x:c r="A102" s="2"/>
      <x:c r="B102" s="2"/>
      <x:c r="C102" s="2"/>
      <x:c r="D102" s="3"/>
      <x:c r="E102" s="3"/>
      <x:c r="F102" s="3"/>
      <x:c r="G102" s="3"/>
      <x:c r="H102" s="3"/>
      <x:c r="I102" s="3"/>
      <x:c r="J102" s="2"/>
      <x:c r="K102" s="2"/>
      <x:c r="L102" s="2"/>
      <x:c r="M102" s="2"/>
      <x:c r="N102" s="2"/>
      <x:c r="O102" s="2"/>
      <x:c r="P102" s="2"/>
      <x:c r="Q102" s="2"/>
    </x:row>
    <x:row r="103" ht="22" customHeight="1">
      <x:c r="A103" s="2"/>
      <x:c r="B103" s="2"/>
      <x:c r="C103" s="2"/>
      <x:c r="D103" s="3"/>
      <x:c r="E103" s="3"/>
      <x:c r="F103" s="3"/>
      <x:c r="G103" s="3"/>
      <x:c r="H103" s="3"/>
      <x:c r="I103" s="3"/>
      <x:c r="J103" s="2"/>
      <x:c r="K103" s="2"/>
      <x:c r="L103" s="2"/>
      <x:c r="M103" s="2"/>
      <x:c r="N103" s="2"/>
      <x:c r="O103" s="2"/>
      <x:c r="P103" s="2"/>
      <x:c r="Q103" s="2"/>
    </x:row>
    <x:row r="104" ht="22" customHeight="1">
      <x:c r="A104" s="2"/>
      <x:c r="B104" s="2"/>
      <x:c r="C104" s="2"/>
      <x:c r="D104" s="3"/>
      <x:c r="E104" s="3"/>
      <x:c r="F104" s="3"/>
      <x:c r="G104" s="3"/>
      <x:c r="H104" s="3"/>
      <x:c r="I104" s="3"/>
      <x:c r="J104" s="2"/>
      <x:c r="K104" s="2"/>
      <x:c r="L104" s="2"/>
      <x:c r="M104" s="2"/>
      <x:c r="N104" s="2"/>
      <x:c r="O104" s="2"/>
      <x:c r="P104" s="2"/>
      <x:c r="Q104" s="2"/>
    </x:row>
    <x:row r="105" ht="22" customHeight="1">
      <x:c r="A105" s="2"/>
      <x:c r="B105" s="2"/>
      <x:c r="C105" s="2"/>
      <x:c r="D105" s="3"/>
      <x:c r="E105" s="3"/>
      <x:c r="F105" s="3"/>
      <x:c r="G105" s="3"/>
      <x:c r="H105" s="3"/>
      <x:c r="I105" s="3"/>
      <x:c r="J105" s="2"/>
      <x:c r="K105" s="2"/>
      <x:c r="L105" s="2"/>
      <x:c r="M105" s="2"/>
      <x:c r="N105" s="2"/>
      <x:c r="O105" s="2"/>
      <x:c r="P105" s="2"/>
      <x:c r="Q105" s="2"/>
    </x:row>
    <x:row r="106" ht="22" customHeight="1">
      <x:c r="A106" s="2"/>
      <x:c r="B106" s="2"/>
      <x:c r="C106" s="2"/>
      <x:c r="D106" s="3"/>
      <x:c r="E106" s="3"/>
      <x:c r="F106" s="3"/>
      <x:c r="G106" s="3"/>
      <x:c r="H106" s="3"/>
      <x:c r="I106" s="3"/>
      <x:c r="J106" s="2"/>
      <x:c r="K106" s="2"/>
      <x:c r="L106" s="2"/>
      <x:c r="M106" s="2"/>
      <x:c r="N106" s="2"/>
      <x:c r="O106" s="2"/>
      <x:c r="P106" s="2"/>
      <x:c r="Q106" s="2"/>
    </x:row>
    <x:row r="107" ht="22" customHeight="1">
      <x:c r="A107" s="2"/>
      <x:c r="B107" s="2"/>
      <x:c r="C107" s="2"/>
      <x:c r="D107" s="3"/>
      <x:c r="E107" s="3"/>
      <x:c r="F107" s="3"/>
      <x:c r="G107" s="3"/>
      <x:c r="H107" s="3"/>
      <x:c r="I107" s="3"/>
      <x:c r="J107" s="2"/>
      <x:c r="K107" s="2"/>
      <x:c r="L107" s="2"/>
      <x:c r="M107" s="2"/>
      <x:c r="N107" s="2"/>
      <x:c r="O107" s="2"/>
      <x:c r="P107" s="2"/>
      <x:c r="Q107" s="2"/>
    </x:row>
    <x:row r="108" ht="22" customHeight="1">
      <x:c r="A108" s="2"/>
      <x:c r="B108" s="2"/>
      <x:c r="C108" s="2"/>
      <x:c r="D108" s="3"/>
      <x:c r="E108" s="3"/>
      <x:c r="F108" s="3"/>
      <x:c r="G108" s="3"/>
      <x:c r="H108" s="3"/>
      <x:c r="I108" s="3"/>
      <x:c r="J108" s="2"/>
      <x:c r="K108" s="2"/>
      <x:c r="L108" s="2"/>
      <x:c r="M108" s="2"/>
      <x:c r="N108" s="2"/>
      <x:c r="O108" s="2"/>
      <x:c r="P108" s="2"/>
      <x:c r="Q108" s="2"/>
    </x:row>
    <x:row r="109" ht="22" customHeight="1">
      <x:c r="A109" s="2"/>
      <x:c r="B109" s="2"/>
      <x:c r="C109" s="2"/>
      <x:c r="D109" s="3"/>
      <x:c r="E109" s="3"/>
      <x:c r="F109" s="3"/>
      <x:c r="G109" s="3"/>
      <x:c r="H109" s="3"/>
      <x:c r="I109" s="3"/>
      <x:c r="J109" s="2"/>
      <x:c r="K109" s="2"/>
      <x:c r="L109" s="2"/>
      <x:c r="M109" s="2"/>
      <x:c r="N109" s="2"/>
      <x:c r="O109" s="2"/>
      <x:c r="P109" s="2"/>
      <x:c r="Q109" s="2"/>
    </x:row>
    <x:row r="110" ht="22" customHeight="1">
      <x:c r="A110" s="2"/>
      <x:c r="B110" s="2"/>
      <x:c r="C110" s="2"/>
      <x:c r="D110" s="3"/>
      <x:c r="E110" s="3"/>
      <x:c r="F110" s="3"/>
      <x:c r="G110" s="3"/>
      <x:c r="H110" s="3"/>
      <x:c r="I110" s="3"/>
      <x:c r="J110" s="2"/>
      <x:c r="K110" s="2"/>
      <x:c r="L110" s="2"/>
      <x:c r="M110" s="2"/>
      <x:c r="N110" s="2"/>
      <x:c r="O110" s="2"/>
      <x:c r="P110" s="2"/>
      <x:c r="Q110" s="2"/>
    </x:row>
    <x:row r="111" ht="22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 ht="22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 ht="22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 ht="22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 ht="22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 ht="22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 ht="22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 ht="22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 ht="22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 ht="22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3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2" customHeight="1">
      <x:c r="A2" s="2"/>
      <x:c r="B2" s="2"/>
      <x:c r="C2" s="4" t="str">
        <x:v>Checks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</x:row>
    <x:row r="3" ht="22" customHeight="1">
      <x:c r="A3" s="2"/>
      <x:c r="B3" s="2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</x:row>
    <x:row r="4" ht="22" customHeight="1">
      <x:c r="A4" s="2"/>
      <x:c r="B4" s="2"/>
      <x:c r="C4" s="2" t="str">
        <x:v>USD millions | FY2025 historical; 2026–2030 forecast</x:v>
      </x:c>
      <x:c r="D4" s="2"/>
      <x:c r="E4" s="2"/>
      <x:c r="F4" s="2"/>
      <x:c r="G4" s="2"/>
      <x:c r="H4" s="2"/>
      <x:c r="I4" s="2"/>
      <x:c r="J4" s="2"/>
      <x:c r="K4" s="2" t="str">
        <x:v>Case Selected:</x:v>
      </x:c>
      <x:c r="L4" s="8" t="str">
        <x:f>CHOOSE(Assumptions!$D$5,"Base","Upside","Downside")</x:f>
        <x:v>Base</x:v>
      </x:c>
      <x:c r="M4" s="2"/>
      <x:c r="N4" s="2"/>
      <x:c r="O4" s="2"/>
      <x:c r="P4" s="2"/>
      <x:c r="Q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2" customHeight="1">
      <x:c r="A6" s="2"/>
      <x:c r="B6" s="2"/>
      <x:c r="C6" s="13" t="str">
        <x:v>Analysis</x:v>
      </x:c>
      <x:c r="D6" s="46" t="n">
        <x:v>2026</x:v>
      </x:c>
      <x:c r="E6" s="46" t="n">
        <x:v>2027</x:v>
      </x:c>
      <x:c r="F6" s="46" t="n">
        <x:v>2028</x:v>
      </x:c>
      <x:c r="G6" s="46" t="n">
        <x:v>2029</x:v>
      </x:c>
      <x:c r="H6" s="46" t="n">
        <x:v>2030</x:v>
      </x:c>
      <x:c r="I6" s="14"/>
      <x:c r="J6" s="2"/>
      <x:c r="K6" s="2"/>
      <x:c r="L6" s="2"/>
      <x:c r="M6" s="2"/>
      <x:c r="N6" s="2"/>
      <x:c r="O6" s="2"/>
      <x:c r="P6" s="2"/>
      <x:c r="Q6" s="2"/>
    </x:row>
    <x:row r="7" ht="22" customHeight="1">
      <x:c r="A7" s="2"/>
      <x:c r="B7" s="2"/>
      <x:c r="C7" s="2" t="str">
        <x:v>Source / use difference</x:v>
      </x:c>
      <x:c r="D7" s="44" t="n">
        <x:f>Transaction!$D$23</x:f>
        <x:v>0</x:v>
      </x:c>
      <x:c r="E7" s="44" t="n">
        <x:f>Transaction!$D$23</x:f>
        <x:v>0</x:v>
      </x:c>
      <x:c r="F7" s="44" t="n">
        <x:f>Transaction!$D$23</x:f>
        <x:v>0</x:v>
      </x:c>
      <x:c r="G7" s="44" t="n">
        <x:f>Transaction!$D$23</x:f>
        <x:v>0</x:v>
      </x:c>
      <x:c r="H7" s="44" t="n">
        <x:f>Transaction!$D$23</x:f>
        <x:v>0</x:v>
      </x:c>
      <x:c r="I7" s="3"/>
      <x:c r="J7" s="2"/>
      <x:c r="K7" s="2"/>
      <x:c r="L7" s="2"/>
      <x:c r="M7" s="2"/>
      <x:c r="N7" s="2"/>
      <x:c r="O7" s="2"/>
      <x:c r="P7" s="2"/>
      <x:c r="Q7" s="2"/>
    </x:row>
    <x:row r="8" ht="22" customHeight="1">
      <x:c r="A8" s="2"/>
      <x:c r="B8" s="2"/>
      <x:c r="C8" s="2" t="str">
        <x:v>Balance sheet difference</x:v>
      </x:c>
      <x:c r="D8" s="44" t="n">
        <x:f>Statements!D34</x:f>
        <x:v>9.094947017729282e-13</x:v>
      </x:c>
      <x:c r="E8" s="44" t="n">
        <x:f>Statements!E34</x:f>
        <x:v>0</x:v>
      </x:c>
      <x:c r="F8" s="44" t="n">
        <x:f>Statements!F34</x:f>
        <x:v>0</x:v>
      </x:c>
      <x:c r="G8" s="44" t="n">
        <x:f>Statements!G34</x:f>
        <x:v>0</x:v>
      </x:c>
      <x:c r="H8" s="44" t="n">
        <x:f>Statements!H34</x:f>
        <x:v>9.094947017729282e-13</x:v>
      </x:c>
      <x:c r="I8" s="3"/>
      <x:c r="J8" s="2"/>
      <x:c r="K8" s="2"/>
      <x:c r="L8" s="2"/>
      <x:c r="M8" s="2"/>
      <x:c r="N8" s="2"/>
      <x:c r="O8" s="2"/>
      <x:c r="P8" s="2"/>
      <x:c r="Q8" s="2"/>
    </x:row>
    <x:row r="9" ht="22" customHeight="1">
      <x:c r="A9" s="2"/>
      <x:c r="B9" s="2"/>
      <x:c r="C9" s="2" t="str">
        <x:v>Cash flow / debt cash difference</x:v>
      </x:c>
      <x:c r="D9" s="44" t="n">
        <x:f>Statements!D17-Debt!D23</x:f>
        <x:v>0</x:v>
      </x:c>
      <x:c r="E9" s="44" t="n">
        <x:f>Statements!E17-Debt!E23</x:f>
        <x:v>-2.842170943040401e-14</x:v>
      </x:c>
      <x:c r="F9" s="44" t="n">
        <x:f>Statements!F17-Debt!F23</x:f>
        <x:v>-5.684341886080802e-14</x:v>
      </x:c>
      <x:c r="G9" s="44" t="n">
        <x:f>Statements!G17-Debt!G23</x:f>
        <x:v>-1.1368683772161603e-13</x:v>
      </x:c>
      <x:c r="H9" s="44" t="n">
        <x:f>Statements!H17-Debt!H23</x:f>
        <x:v>5.684341886080802e-14</x:v>
      </x:c>
      <x:c r="I9" s="3"/>
      <x:c r="J9" s="2"/>
      <x:c r="K9" s="2"/>
      <x:c r="L9" s="2"/>
      <x:c r="M9" s="2"/>
      <x:c r="N9" s="2"/>
      <x:c r="O9" s="2"/>
      <x:c r="P9" s="2"/>
      <x:c r="Q9" s="2"/>
    </x:row>
    <x:row r="10" ht="22" customHeight="1">
      <x:c r="A10" s="2"/>
      <x:c r="B10" s="2"/>
      <x:c r="C10" s="2" t="str">
        <x:v>Debt roll-forward difference</x:v>
      </x:c>
      <x:c r="D10" s="44" t="n">
        <x:f>Debt!D7+Debt!D8-Debt!D13-Debt!D14-Debt!D18-Debt!D19-Debt!D22</x:f>
        <x:v>0</x:v>
      </x:c>
      <x:c r="E10" s="44" t="n">
        <x:f>Debt!E7+Debt!E8-Debt!E13-Debt!E14-Debt!E18-Debt!E19-Debt!E22</x:f>
        <x:v>0</x:v>
      </x:c>
      <x:c r="F10" s="44" t="n">
        <x:f>Debt!F7+Debt!F8-Debt!F13-Debt!F14-Debt!F18-Debt!F19-Debt!F22</x:f>
        <x:v>0</x:v>
      </x:c>
      <x:c r="G10" s="44" t="n">
        <x:f>Debt!G7+Debt!G8-Debt!G13-Debt!G14-Debt!G18-Debt!G19-Debt!G22</x:f>
        <x:v>0</x:v>
      </x:c>
      <x:c r="H10" s="44" t="n">
        <x:f>Debt!H7+Debt!H8-Debt!H13-Debt!H14-Debt!H18-Debt!H19-Debt!H22</x:f>
        <x:v>0</x:v>
      </x:c>
      <x:c r="I10" s="3"/>
      <x:c r="J10" s="2"/>
      <x:c r="K10" s="2"/>
      <x:c r="L10" s="2"/>
      <x:c r="M10" s="2"/>
      <x:c r="N10" s="2"/>
      <x:c r="O10" s="2"/>
      <x:c r="P10" s="2"/>
      <x:c r="Q10" s="2"/>
    </x:row>
    <x:row r="11" ht="22" customHeight="1">
      <x:c r="A11" s="2"/>
      <x:c r="B11" s="2"/>
      <x:c r="C11" s="2" t="str">
        <x:v>Return bridge difference</x:v>
      </x:c>
      <x:c r="D11" s="44" t="n">
        <x:f>Valuation!$D$32</x:f>
        <x:v>9.094947017729282e-13</x:v>
      </x:c>
      <x:c r="E11" s="44" t="n">
        <x:f>Valuation!$D$32</x:f>
        <x:v>9.094947017729282e-13</x:v>
      </x:c>
      <x:c r="F11" s="44" t="n">
        <x:f>Valuation!$D$32</x:f>
        <x:v>9.094947017729282e-13</x:v>
      </x:c>
      <x:c r="G11" s="44" t="n">
        <x:f>Valuation!$D$32</x:f>
        <x:v>9.094947017729282e-13</x:v>
      </x:c>
      <x:c r="H11" s="44" t="n">
        <x:f>Valuation!$D$32</x:f>
        <x:v>9.094947017729282e-13</x:v>
      </x:c>
      <x:c r="I11" s="3"/>
      <x:c r="J11" s="2"/>
      <x:c r="K11" s="2"/>
      <x:c r="L11" s="2"/>
      <x:c r="M11" s="2"/>
      <x:c r="N11" s="2"/>
      <x:c r="O11" s="2"/>
      <x:c r="P11" s="2"/>
      <x:c r="Q11" s="2"/>
    </x:row>
    <x:row r="12" ht="22" customHeight="1">
      <x:c r="A12" s="2"/>
      <x:c r="B12" s="2"/>
      <x:c r="C12" s="2" t="str">
        <x:v>Historical revenue reconciliation</x:v>
      </x:c>
      <x:c r="D12" s="44" t="n">
        <x:f>Historical!$F$11-Historical!$F$7-Historical!$F$8-Historical!$F$9-Historical!$F$10</x:f>
        <x:v>0</x:v>
      </x:c>
      <x:c r="E12" s="44" t="n">
        <x:f>Historical!$F$11-Historical!$F$7-Historical!$F$8-Historical!$F$9-Historical!$F$10</x:f>
        <x:v>0</x:v>
      </x:c>
      <x:c r="F12" s="44" t="n">
        <x:f>Historical!$F$11-Historical!$F$7-Historical!$F$8-Historical!$F$9-Historical!$F$10</x:f>
        <x:v>0</x:v>
      </x:c>
      <x:c r="G12" s="44" t="n">
        <x:f>Historical!$F$11-Historical!$F$7-Historical!$F$8-Historical!$F$9-Historical!$F$10</x:f>
        <x:v>0</x:v>
      </x:c>
      <x:c r="H12" s="44" t="n">
        <x:f>Historical!$F$11-Historical!$F$7-Historical!$F$8-Historical!$F$9-Historical!$F$10</x:f>
        <x:v>0</x:v>
      </x:c>
      <x:c r="I12" s="3"/>
      <x:c r="J12" s="2"/>
      <x:c r="K12" s="2"/>
      <x:c r="L12" s="2"/>
      <x:c r="M12" s="2"/>
      <x:c r="N12" s="2"/>
      <x:c r="O12" s="2"/>
      <x:c r="P12" s="2"/>
      <x:c r="Q12" s="2"/>
    </x:row>
    <x:row r="13" ht="22" customHeight="1">
      <x:c r="A13" s="2"/>
      <x:c r="B13" s="2"/>
      <x:c r="C13" s="2" t="str">
        <x:v>Historical cash reconciliation</x:v>
      </x:c>
      <x:c r="D13" s="44" t="n">
        <x:f>Historical!$F$36+Historical!$F$32+Historical!$F$34+Historical!$F$35-Historical!$F$37</x:f>
        <x:v>0</x:v>
      </x:c>
      <x:c r="E13" s="44" t="n">
        <x:f>Historical!$F$36+Historical!$F$32+Historical!$F$34+Historical!$F$35-Historical!$F$37</x:f>
        <x:v>0</x:v>
      </x:c>
      <x:c r="F13" s="44" t="n">
        <x:f>Historical!$F$36+Historical!$F$32+Historical!$F$34+Historical!$F$35-Historical!$F$37</x:f>
        <x:v>0</x:v>
      </x:c>
      <x:c r="G13" s="44" t="n">
        <x:f>Historical!$F$36+Historical!$F$32+Historical!$F$34+Historical!$F$35-Historical!$F$37</x:f>
        <x:v>0</x:v>
      </x:c>
      <x:c r="H13" s="44" t="n">
        <x:f>Historical!$F$36+Historical!$F$32+Historical!$F$34+Historical!$F$35-Historical!$F$37</x:f>
        <x:v>0</x:v>
      </x:c>
      <x:c r="I13" s="3"/>
      <x:c r="J13" s="2"/>
      <x:c r="K13" s="2"/>
      <x:c r="L13" s="2"/>
      <x:c r="M13" s="2"/>
      <x:c r="N13" s="2"/>
      <x:c r="O13" s="2"/>
      <x:c r="P13" s="2"/>
      <x:c r="Q13" s="2"/>
    </x:row>
    <x:row r="14" ht="22" customHeight="1">
      <x:c r="A14" s="2"/>
      <x:c r="B14" s="2"/>
      <x:c r="C14" s="2" t="str">
        <x:v>Insurance recovery above loss</x:v>
      </x:c>
      <x:c r="D14" s="44" t="n">
        <x:f>MAX(Insurance!D12-Insurance!D9,0)</x:f>
        <x:v>0</x:v>
      </x:c>
      <x:c r="E14" s="44" t="n">
        <x:f>MAX(Insurance!D12-Insurance!D9,0)</x:f>
        <x:v>0</x:v>
      </x:c>
      <x:c r="F14" s="44" t="n">
        <x:f>MAX(Insurance!D12-Insurance!D9,0)</x:f>
        <x:v>0</x:v>
      </x:c>
      <x:c r="G14" s="44" t="n">
        <x:f>MAX(Insurance!D12-Insurance!D9,0)</x:f>
        <x:v>0</x:v>
      </x:c>
      <x:c r="H14" s="44" t="n">
        <x:f>MAX(Insurance!D12-Insurance!D9,0)</x:f>
        <x:v>0</x:v>
      </x:c>
      <x:c r="I14" s="3"/>
      <x:c r="J14" s="2"/>
      <x:c r="K14" s="2"/>
      <x:c r="L14" s="2"/>
      <x:c r="M14" s="2"/>
      <x:c r="N14" s="2"/>
      <x:c r="O14" s="2"/>
      <x:c r="P14" s="2"/>
      <x:c r="Q14" s="2"/>
    </x:row>
    <x:row r="15" ht="22" customHeight="1">
      <x:c r="A15" s="2"/>
      <x:c r="B15" s="2"/>
      <x:c r="C15" s="2" t="str">
        <x:v>Negative debt</x:v>
      </x:c>
      <x:c r="D15" s="44" t="n">
        <x:f>MIN(Debt!D22,0)</x:f>
        <x:v>0</x:v>
      </x:c>
      <x:c r="E15" s="44" t="n">
        <x:f>MIN(Debt!E22,0)</x:f>
        <x:v>0</x:v>
      </x:c>
      <x:c r="F15" s="44" t="n">
        <x:f>MIN(Debt!F22,0)</x:f>
        <x:v>0</x:v>
      </x:c>
      <x:c r="G15" s="44" t="n">
        <x:f>MIN(Debt!G22,0)</x:f>
        <x:v>0</x:v>
      </x:c>
      <x:c r="H15" s="44" t="n">
        <x:f>MIN(Debt!H22,0)</x:f>
        <x:v>0</x:v>
      </x:c>
      <x:c r="I15" s="3"/>
      <x:c r="J15" s="2"/>
      <x:c r="K15" s="2"/>
      <x:c r="L15" s="2"/>
      <x:c r="M15" s="2"/>
      <x:c r="N15" s="2"/>
      <x:c r="O15" s="2"/>
      <x:c r="P15" s="2"/>
      <x:c r="Q15" s="2"/>
    </x:row>
    <x:row r="16" ht="22" customHeight="1">
      <x:c r="A16" s="2"/>
      <x:c r="B16" s="2"/>
      <x:c r="C16" s="2" t="str">
        <x:v>Cash below operating minimum</x:v>
      </x:c>
      <x:c r="D16" s="44" t="n">
        <x:f>MIN(Debt!D23-Assumptions!$D$17,0)</x:f>
        <x:v>0</x:v>
      </x:c>
      <x:c r="E16" s="44" t="n">
        <x:f>MIN(Debt!E23-Assumptions!$D$17,0)</x:f>
        <x:v>0</x:v>
      </x:c>
      <x:c r="F16" s="44" t="n">
        <x:f>MIN(Debt!F23-Assumptions!$D$17,0)</x:f>
        <x:v>0</x:v>
      </x:c>
      <x:c r="G16" s="44" t="n">
        <x:f>MIN(Debt!G23-Assumptions!$D$17,0)</x:f>
        <x:v>0</x:v>
      </x:c>
      <x:c r="H16" s="44" t="n">
        <x:f>MIN(Debt!H23-Assumptions!$D$17,0)</x:f>
        <x:v>0</x:v>
      </x:c>
      <x:c r="I16" s="3"/>
      <x:c r="J16" s="2"/>
      <x:c r="K16" s="2"/>
      <x:c r="L16" s="2"/>
      <x:c r="M16" s="2"/>
      <x:c r="N16" s="2"/>
      <x:c r="O16" s="2"/>
      <x:c r="P16" s="2"/>
      <x:c r="Q16" s="2"/>
    </x:row>
    <x:row r="17" ht="22" customHeight="1">
      <x:c r="A17" s="2"/>
      <x:c r="B17" s="2"/>
      <x:c r="C17" s="2"/>
      <x:c r="D17" s="3"/>
      <x:c r="E17" s="3"/>
      <x:c r="F17" s="3"/>
      <x:c r="G17" s="3"/>
      <x:c r="H17" s="3"/>
      <x:c r="I17" s="3"/>
      <x:c r="J17" s="2"/>
      <x:c r="K17" s="2"/>
      <x:c r="L17" s="2"/>
      <x:c r="M17" s="2"/>
      <x:c r="N17" s="2"/>
      <x:c r="O17" s="2"/>
      <x:c r="P17" s="2"/>
      <x:c r="Q17" s="2"/>
    </x:row>
    <x:row r="18" ht="22" customHeight="1">
      <x:c r="A18" s="2"/>
      <x:c r="B18" s="2"/>
      <x:c r="C18" s="2"/>
      <x:c r="D18" s="3"/>
      <x:c r="E18" s="3"/>
      <x:c r="F18" s="3"/>
      <x:c r="G18" s="3"/>
      <x:c r="H18" s="3"/>
      <x:c r="I18" s="3"/>
      <x:c r="J18" s="2"/>
      <x:c r="K18" s="2"/>
      <x:c r="L18" s="2"/>
      <x:c r="M18" s="2"/>
      <x:c r="N18" s="2"/>
      <x:c r="O18" s="2"/>
      <x:c r="P18" s="2"/>
      <x:c r="Q18" s="2"/>
    </x:row>
    <x:row r="19" ht="22" customHeight="1">
      <x:c r="A19" s="2"/>
      <x:c r="B19" s="2"/>
      <x:c r="C19" s="2"/>
      <x:c r="D19" s="3"/>
      <x:c r="E19" s="3"/>
      <x:c r="F19" s="3"/>
      <x:c r="G19" s="3"/>
      <x:c r="H19" s="3"/>
      <x:c r="I19" s="3"/>
      <x:c r="J19" s="2"/>
      <x:c r="K19" s="2"/>
      <x:c r="L19" s="2"/>
      <x:c r="M19" s="2"/>
      <x:c r="N19" s="2"/>
      <x:c r="O19" s="2"/>
      <x:c r="P19" s="2"/>
      <x:c r="Q19" s="2"/>
    </x:row>
    <x:row r="20" ht="22" customHeight="1">
      <x:c r="A20" s="2"/>
      <x:c r="B20" s="2"/>
      <x:c r="C20" s="19" t="str">
        <x:v>Zero means reconciled. Covenant breaches are shown on Debt and are economic findings, not formula errors.</x:v>
      </x:c>
      <x:c r="D20" s="20"/>
      <x:c r="E20" s="20"/>
      <x:c r="F20" s="20"/>
      <x:c r="G20" s="20"/>
      <x:c r="H20" s="20"/>
      <x:c r="I20" s="20"/>
      <x:c r="J20" s="19"/>
      <x:c r="K20" s="19"/>
      <x:c r="L20" s="19"/>
      <x:c r="M20" s="19"/>
      <x:c r="N20" s="2"/>
      <x:c r="O20" s="2"/>
      <x:c r="P20" s="2"/>
      <x:c r="Q20" s="2"/>
    </x:row>
    <x:row r="21" ht="22" customHeight="1">
      <x:c r="A21" s="2"/>
      <x:c r="B21" s="2"/>
      <x:c r="C21" s="2"/>
      <x:c r="D21" s="3"/>
      <x:c r="E21" s="3"/>
      <x:c r="F21" s="3"/>
      <x:c r="G21" s="3"/>
      <x:c r="H21" s="3"/>
      <x:c r="I21" s="3"/>
      <x:c r="J21" s="2"/>
      <x:c r="K21" s="2"/>
      <x:c r="L21" s="2"/>
      <x:c r="M21" s="2"/>
      <x:c r="N21" s="2"/>
      <x:c r="O21" s="2"/>
      <x:c r="P21" s="2"/>
      <x:c r="Q21" s="2"/>
    </x:row>
    <x:row r="22" ht="22" customHeight="1">
      <x:c r="A22" s="2"/>
      <x:c r="B22" s="2"/>
      <x:c r="C22" s="2"/>
      <x:c r="D22" s="3"/>
      <x:c r="E22" s="3"/>
      <x:c r="F22" s="3"/>
      <x:c r="G22" s="3"/>
      <x:c r="H22" s="3"/>
      <x:c r="I22" s="3"/>
      <x:c r="J22" s="2"/>
      <x:c r="K22" s="2"/>
      <x:c r="L22" s="2"/>
      <x:c r="M22" s="2"/>
      <x:c r="N22" s="2"/>
      <x:c r="O22" s="2"/>
      <x:c r="P22" s="2"/>
      <x:c r="Q22" s="2"/>
    </x:row>
    <x:row r="23" ht="22" customHeight="1">
      <x:c r="A23" s="2"/>
      <x:c r="B23" s="2"/>
      <x:c r="C23" s="2"/>
      <x:c r="D23" s="3"/>
      <x:c r="E23" s="3"/>
      <x:c r="F23" s="3"/>
      <x:c r="G23" s="3"/>
      <x:c r="H23" s="3"/>
      <x:c r="I23" s="3"/>
      <x:c r="J23" s="2"/>
      <x:c r="K23" s="2"/>
      <x:c r="L23" s="2"/>
      <x:c r="M23" s="2"/>
      <x:c r="N23" s="2"/>
      <x:c r="O23" s="2"/>
      <x:c r="P23" s="2"/>
      <x:c r="Q23" s="2"/>
    </x:row>
    <x:row r="24" ht="22" customHeight="1">
      <x:c r="A24" s="2"/>
      <x:c r="B24" s="2"/>
      <x:c r="C24" s="2"/>
      <x:c r="D24" s="3"/>
      <x:c r="E24" s="3"/>
      <x:c r="F24" s="3"/>
      <x:c r="G24" s="3"/>
      <x:c r="H24" s="3"/>
      <x:c r="I24" s="3"/>
      <x:c r="J24" s="2"/>
      <x:c r="K24" s="2"/>
      <x:c r="L24" s="2"/>
      <x:c r="M24" s="2"/>
      <x:c r="N24" s="2"/>
      <x:c r="O24" s="2"/>
      <x:c r="P24" s="2"/>
      <x:c r="Q24" s="2"/>
    </x:row>
    <x:row r="25" ht="22" customHeight="1">
      <x:c r="A25" s="2"/>
      <x:c r="B25" s="2"/>
      <x:c r="C25" s="2"/>
      <x:c r="D25" s="3"/>
      <x:c r="E25" s="3"/>
      <x:c r="F25" s="3"/>
      <x:c r="G25" s="3"/>
      <x:c r="H25" s="3"/>
      <x:c r="I25" s="3"/>
      <x:c r="J25" s="2"/>
      <x:c r="K25" s="2"/>
      <x:c r="L25" s="2"/>
      <x:c r="M25" s="2"/>
      <x:c r="N25" s="2"/>
      <x:c r="O25" s="2"/>
      <x:c r="P25" s="2"/>
      <x:c r="Q25" s="2"/>
    </x:row>
    <x:row r="26" ht="22" customHeight="1">
      <x:c r="A26" s="2"/>
      <x:c r="B26" s="2"/>
      <x:c r="C26" s="2"/>
      <x:c r="D26" s="3"/>
      <x:c r="E26" s="3"/>
      <x:c r="F26" s="3"/>
      <x:c r="G26" s="3"/>
      <x:c r="H26" s="3"/>
      <x:c r="I26" s="3"/>
      <x:c r="J26" s="2"/>
      <x:c r="K26" s="2"/>
      <x:c r="L26" s="2"/>
      <x:c r="M26" s="2"/>
      <x:c r="N26" s="2"/>
      <x:c r="O26" s="2"/>
      <x:c r="P26" s="2"/>
      <x:c r="Q26" s="2"/>
    </x:row>
    <x:row r="27" ht="22" customHeight="1">
      <x:c r="A27" s="2"/>
      <x:c r="B27" s="2"/>
      <x:c r="C27" s="2"/>
      <x:c r="D27" s="3"/>
      <x:c r="E27" s="3"/>
      <x:c r="F27" s="3"/>
      <x:c r="G27" s="3"/>
      <x:c r="H27" s="3"/>
      <x:c r="I27" s="3"/>
      <x:c r="J27" s="2"/>
      <x:c r="K27" s="2"/>
      <x:c r="L27" s="2"/>
      <x:c r="M27" s="2"/>
      <x:c r="N27" s="2"/>
      <x:c r="O27" s="2"/>
      <x:c r="P27" s="2"/>
      <x:c r="Q27" s="2"/>
    </x:row>
    <x:row r="28" ht="22" customHeight="1">
      <x:c r="A28" s="2"/>
      <x:c r="B28" s="2"/>
      <x:c r="C28" s="2"/>
      <x:c r="D28" s="3"/>
      <x:c r="E28" s="3"/>
      <x:c r="F28" s="3"/>
      <x:c r="G28" s="3"/>
      <x:c r="H28" s="3"/>
      <x:c r="I28" s="3"/>
      <x:c r="J28" s="2"/>
      <x:c r="K28" s="2"/>
      <x:c r="L28" s="2"/>
      <x:c r="M28" s="2"/>
      <x:c r="N28" s="2"/>
      <x:c r="O28" s="2"/>
      <x:c r="P28" s="2"/>
      <x:c r="Q28" s="2"/>
    </x:row>
    <x:row r="29" ht="22" customHeight="1">
      <x:c r="A29" s="2"/>
      <x:c r="B29" s="2"/>
      <x:c r="C29" s="2"/>
      <x:c r="D29" s="3"/>
      <x:c r="E29" s="3"/>
      <x:c r="F29" s="3"/>
      <x:c r="G29" s="3"/>
      <x:c r="H29" s="3"/>
      <x:c r="I29" s="3"/>
      <x:c r="J29" s="2"/>
      <x:c r="K29" s="2"/>
      <x:c r="L29" s="2"/>
      <x:c r="M29" s="2"/>
      <x:c r="N29" s="2"/>
      <x:c r="O29" s="2"/>
      <x:c r="P29" s="2"/>
      <x:c r="Q29" s="2"/>
    </x:row>
    <x:row r="30" ht="22" customHeight="1">
      <x:c r="A30" s="2"/>
      <x:c r="B30" s="2"/>
      <x:c r="C30" s="2"/>
      <x:c r="D30" s="3"/>
      <x:c r="E30" s="3"/>
      <x:c r="F30" s="3"/>
      <x:c r="G30" s="3"/>
      <x:c r="H30" s="3"/>
      <x:c r="I30" s="3"/>
      <x:c r="J30" s="2"/>
      <x:c r="K30" s="2"/>
      <x:c r="L30" s="2"/>
      <x:c r="M30" s="2"/>
      <x:c r="N30" s="2"/>
      <x:c r="O30" s="2"/>
      <x:c r="P30" s="2"/>
      <x:c r="Q30" s="2"/>
    </x:row>
    <x:row r="31" ht="22" customHeight="1">
      <x:c r="A31" s="2"/>
      <x:c r="B31" s="2"/>
      <x:c r="C31" s="2"/>
      <x:c r="D31" s="3"/>
      <x:c r="E31" s="3"/>
      <x:c r="F31" s="3"/>
      <x:c r="G31" s="3"/>
      <x:c r="H31" s="3"/>
      <x:c r="I31" s="3"/>
      <x:c r="J31" s="2"/>
      <x:c r="K31" s="2"/>
      <x:c r="L31" s="2"/>
      <x:c r="M31" s="2"/>
      <x:c r="N31" s="2"/>
      <x:c r="O31" s="2"/>
      <x:c r="P31" s="2"/>
      <x:c r="Q31" s="2"/>
    </x:row>
    <x:row r="32" ht="22" customHeight="1">
      <x:c r="A32" s="2"/>
      <x:c r="B32" s="2"/>
      <x:c r="C32" s="2"/>
      <x:c r="D32" s="3"/>
      <x:c r="E32" s="3"/>
      <x:c r="F32" s="3"/>
      <x:c r="G32" s="3"/>
      <x:c r="H32" s="3"/>
      <x:c r="I32" s="3"/>
      <x:c r="J32" s="2"/>
      <x:c r="K32" s="2"/>
      <x:c r="L32" s="2"/>
      <x:c r="M32" s="2"/>
      <x:c r="N32" s="2"/>
      <x:c r="O32" s="2"/>
      <x:c r="P32" s="2"/>
      <x:c r="Q32" s="2"/>
    </x:row>
    <x:row r="33" ht="22" customHeight="1">
      <x:c r="A33" s="2"/>
      <x:c r="B33" s="2"/>
      <x:c r="C33" s="2"/>
      <x:c r="D33" s="3"/>
      <x:c r="E33" s="3"/>
      <x:c r="F33" s="3"/>
      <x:c r="G33" s="3"/>
      <x:c r="H33" s="3"/>
      <x:c r="I33" s="3"/>
      <x:c r="J33" s="2"/>
      <x:c r="K33" s="2"/>
      <x:c r="L33" s="2"/>
      <x:c r="M33" s="2"/>
      <x:c r="N33" s="2"/>
      <x:c r="O33" s="2"/>
      <x:c r="P33" s="2"/>
      <x:c r="Q33" s="2"/>
    </x:row>
    <x:row r="34" ht="22" customHeight="1">
      <x:c r="A34" s="2"/>
      <x:c r="B34" s="2"/>
      <x:c r="C34" s="2"/>
      <x:c r="D34" s="3"/>
      <x:c r="E34" s="3"/>
      <x:c r="F34" s="3"/>
      <x:c r="G34" s="3"/>
      <x:c r="H34" s="3"/>
      <x:c r="I34" s="3"/>
      <x:c r="J34" s="2"/>
      <x:c r="K34" s="2"/>
      <x:c r="L34" s="2"/>
      <x:c r="M34" s="2"/>
      <x:c r="N34" s="2"/>
      <x:c r="O34" s="2"/>
      <x:c r="P34" s="2"/>
      <x:c r="Q34" s="2"/>
    </x:row>
    <x:row r="35" ht="22" customHeight="1">
      <x:c r="A35" s="2"/>
      <x:c r="B35" s="2"/>
      <x:c r="C35" s="2"/>
      <x:c r="D35" s="3"/>
      <x:c r="E35" s="3"/>
      <x:c r="F35" s="3"/>
      <x:c r="G35" s="3"/>
      <x:c r="H35" s="3"/>
      <x:c r="I35" s="3"/>
      <x:c r="J35" s="2"/>
      <x:c r="K35" s="2"/>
      <x:c r="L35" s="2"/>
      <x:c r="M35" s="2"/>
      <x:c r="N35" s="2"/>
      <x:c r="O35" s="2"/>
      <x:c r="P35" s="2"/>
      <x:c r="Q35" s="2"/>
    </x:row>
    <x:row r="36" ht="22" customHeight="1">
      <x:c r="A36" s="2"/>
      <x:c r="B36" s="2"/>
      <x:c r="C36" s="2"/>
      <x:c r="D36" s="3"/>
      <x:c r="E36" s="3"/>
      <x:c r="F36" s="3"/>
      <x:c r="G36" s="3"/>
      <x:c r="H36" s="3"/>
      <x:c r="I36" s="3"/>
      <x:c r="J36" s="2"/>
      <x:c r="K36" s="2"/>
      <x:c r="L36" s="2"/>
      <x:c r="M36" s="2"/>
      <x:c r="N36" s="2"/>
      <x:c r="O36" s="2"/>
      <x:c r="P36" s="2"/>
      <x:c r="Q36" s="2"/>
    </x:row>
    <x:row r="37" ht="22" customHeight="1">
      <x:c r="A37" s="2"/>
      <x:c r="B37" s="2"/>
      <x:c r="C37" s="2"/>
      <x:c r="D37" s="3"/>
      <x:c r="E37" s="3"/>
      <x:c r="F37" s="3"/>
      <x:c r="G37" s="3"/>
      <x:c r="H37" s="3"/>
      <x:c r="I37" s="3"/>
      <x:c r="J37" s="2"/>
      <x:c r="K37" s="2"/>
      <x:c r="L37" s="2"/>
      <x:c r="M37" s="2"/>
      <x:c r="N37" s="2"/>
      <x:c r="O37" s="2"/>
      <x:c r="P37" s="2"/>
      <x:c r="Q37" s="2"/>
    </x:row>
    <x:row r="38" ht="22" customHeight="1">
      <x:c r="A38" s="2"/>
      <x:c r="B38" s="2"/>
      <x:c r="C38" s="2"/>
      <x:c r="D38" s="3"/>
      <x:c r="E38" s="3"/>
      <x:c r="F38" s="3"/>
      <x:c r="G38" s="3"/>
      <x:c r="H38" s="3"/>
      <x:c r="I38" s="3"/>
      <x:c r="J38" s="2"/>
      <x:c r="K38" s="2"/>
      <x:c r="L38" s="2"/>
      <x:c r="M38" s="2"/>
      <x:c r="N38" s="2"/>
      <x:c r="O38" s="2"/>
      <x:c r="P38" s="2"/>
      <x:c r="Q38" s="2"/>
    </x:row>
    <x:row r="39" ht="22" customHeight="1">
      <x:c r="A39" s="2"/>
      <x:c r="B39" s="2"/>
      <x:c r="C39" s="2"/>
      <x:c r="D39" s="3"/>
      <x:c r="E39" s="3"/>
      <x:c r="F39" s="3"/>
      <x:c r="G39" s="3"/>
      <x:c r="H39" s="3"/>
      <x:c r="I39" s="3"/>
      <x:c r="J39" s="2"/>
      <x:c r="K39" s="2"/>
      <x:c r="L39" s="2"/>
      <x:c r="M39" s="2"/>
      <x:c r="N39" s="2"/>
      <x:c r="O39" s="2"/>
      <x:c r="P39" s="2"/>
      <x:c r="Q39" s="2"/>
    </x:row>
    <x:row r="40" ht="22" customHeight="1">
      <x:c r="A40" s="2"/>
      <x:c r="B40" s="2"/>
      <x:c r="C40" s="2"/>
      <x:c r="D40" s="3"/>
      <x:c r="E40" s="3"/>
      <x:c r="F40" s="3"/>
      <x:c r="G40" s="3"/>
      <x:c r="H40" s="3"/>
      <x:c r="I40" s="3"/>
      <x:c r="J40" s="2"/>
      <x:c r="K40" s="2"/>
      <x:c r="L40" s="2"/>
      <x:c r="M40" s="2"/>
      <x:c r="N40" s="2"/>
      <x:c r="O40" s="2"/>
      <x:c r="P40" s="2"/>
      <x:c r="Q40" s="2"/>
    </x:row>
    <x:row r="41" ht="22" customHeight="1">
      <x:c r="A41" s="2"/>
      <x:c r="B41" s="2"/>
      <x:c r="C41" s="2"/>
      <x:c r="D41" s="3"/>
      <x:c r="E41" s="3"/>
      <x:c r="F41" s="3"/>
      <x:c r="G41" s="3"/>
      <x:c r="H41" s="3"/>
      <x:c r="I41" s="3"/>
      <x:c r="J41" s="2"/>
      <x:c r="K41" s="2"/>
      <x:c r="L41" s="2"/>
      <x:c r="M41" s="2"/>
      <x:c r="N41" s="2"/>
      <x:c r="O41" s="2"/>
      <x:c r="P41" s="2"/>
      <x:c r="Q41" s="2"/>
    </x:row>
    <x:row r="42" ht="22" customHeight="1">
      <x:c r="A42" s="2"/>
      <x:c r="B42" s="2"/>
      <x:c r="C42" s="2"/>
      <x:c r="D42" s="3"/>
      <x:c r="E42" s="3"/>
      <x:c r="F42" s="3"/>
      <x:c r="G42" s="3"/>
      <x:c r="H42" s="3"/>
      <x:c r="I42" s="3"/>
      <x:c r="J42" s="2"/>
      <x:c r="K42" s="2"/>
      <x:c r="L42" s="2"/>
      <x:c r="M42" s="2"/>
      <x:c r="N42" s="2"/>
      <x:c r="O42" s="2"/>
      <x:c r="P42" s="2"/>
      <x:c r="Q42" s="2"/>
    </x:row>
    <x:row r="43" ht="22" customHeight="1">
      <x:c r="A43" s="2"/>
      <x:c r="B43" s="2"/>
      <x:c r="C43" s="2"/>
      <x:c r="D43" s="3"/>
      <x:c r="E43" s="3"/>
      <x:c r="F43" s="3"/>
      <x:c r="G43" s="3"/>
      <x:c r="H43" s="3"/>
      <x:c r="I43" s="3"/>
      <x:c r="J43" s="2"/>
      <x:c r="K43" s="2"/>
      <x:c r="L43" s="2"/>
      <x:c r="M43" s="2"/>
      <x:c r="N43" s="2"/>
      <x:c r="O43" s="2"/>
      <x:c r="P43" s="2"/>
      <x:c r="Q43" s="2"/>
    </x:row>
    <x:row r="44" ht="22" customHeight="1">
      <x:c r="A44" s="2"/>
      <x:c r="B44" s="2"/>
      <x:c r="C44" s="2"/>
      <x:c r="D44" s="3"/>
      <x:c r="E44" s="3"/>
      <x:c r="F44" s="3"/>
      <x:c r="G44" s="3"/>
      <x:c r="H44" s="3"/>
      <x:c r="I44" s="3"/>
      <x:c r="J44" s="2"/>
      <x:c r="K44" s="2"/>
      <x:c r="L44" s="2"/>
      <x:c r="M44" s="2"/>
      <x:c r="N44" s="2"/>
      <x:c r="O44" s="2"/>
      <x:c r="P44" s="2"/>
      <x:c r="Q44" s="2"/>
    </x:row>
    <x:row r="45" ht="22" customHeight="1">
      <x:c r="A45" s="2"/>
      <x:c r="B45" s="2"/>
      <x:c r="C45" s="2"/>
      <x:c r="D45" s="3"/>
      <x:c r="E45" s="3"/>
      <x:c r="F45" s="3"/>
      <x:c r="G45" s="3"/>
      <x:c r="H45" s="3"/>
      <x:c r="I45" s="3"/>
      <x:c r="J45" s="2"/>
      <x:c r="K45" s="2"/>
      <x:c r="L45" s="2"/>
      <x:c r="M45" s="2"/>
      <x:c r="N45" s="2"/>
      <x:c r="O45" s="2"/>
      <x:c r="P45" s="2"/>
      <x:c r="Q45" s="2"/>
    </x:row>
    <x:row r="46" ht="22" customHeight="1">
      <x:c r="A46" s="2"/>
      <x:c r="B46" s="2"/>
      <x:c r="C46" s="2"/>
      <x:c r="D46" s="3"/>
      <x:c r="E46" s="3"/>
      <x:c r="F46" s="3"/>
      <x:c r="G46" s="3"/>
      <x:c r="H46" s="3"/>
      <x:c r="I46" s="3"/>
      <x:c r="J46" s="2"/>
      <x:c r="K46" s="2"/>
      <x:c r="L46" s="2"/>
      <x:c r="M46" s="2"/>
      <x:c r="N46" s="2"/>
      <x:c r="O46" s="2"/>
      <x:c r="P46" s="2"/>
      <x:c r="Q46" s="2"/>
    </x:row>
    <x:row r="47" ht="22" customHeight="1">
      <x:c r="A47" s="2"/>
      <x:c r="B47" s="2"/>
      <x:c r="C47" s="2"/>
      <x:c r="D47" s="3"/>
      <x:c r="E47" s="3"/>
      <x:c r="F47" s="3"/>
      <x:c r="G47" s="3"/>
      <x:c r="H47" s="3"/>
      <x:c r="I47" s="3"/>
      <x:c r="J47" s="2"/>
      <x:c r="K47" s="2"/>
      <x:c r="L47" s="2"/>
      <x:c r="M47" s="2"/>
      <x:c r="N47" s="2"/>
      <x:c r="O47" s="2"/>
      <x:c r="P47" s="2"/>
      <x:c r="Q47" s="2"/>
    </x:row>
    <x:row r="48" ht="22" customHeight="1">
      <x:c r="A48" s="2"/>
      <x:c r="B48" s="2"/>
      <x:c r="C48" s="2"/>
      <x:c r="D48" s="3"/>
      <x:c r="E48" s="3"/>
      <x:c r="F48" s="3"/>
      <x:c r="G48" s="3"/>
      <x:c r="H48" s="3"/>
      <x:c r="I48" s="3"/>
      <x:c r="J48" s="2"/>
      <x:c r="K48" s="2"/>
      <x:c r="L48" s="2"/>
      <x:c r="M48" s="2"/>
      <x:c r="N48" s="2"/>
      <x:c r="O48" s="2"/>
      <x:c r="P48" s="2"/>
      <x:c r="Q48" s="2"/>
    </x:row>
    <x:row r="49" ht="22" customHeight="1">
      <x:c r="A49" s="2"/>
      <x:c r="B49" s="2"/>
      <x:c r="C49" s="2"/>
      <x:c r="D49" s="3"/>
      <x:c r="E49" s="3"/>
      <x:c r="F49" s="3"/>
      <x:c r="G49" s="3"/>
      <x:c r="H49" s="3"/>
      <x:c r="I49" s="3"/>
      <x:c r="J49" s="2"/>
      <x:c r="K49" s="2"/>
      <x:c r="L49" s="2"/>
      <x:c r="M49" s="2"/>
      <x:c r="N49" s="2"/>
      <x:c r="O49" s="2"/>
      <x:c r="P49" s="2"/>
      <x:c r="Q49" s="2"/>
    </x:row>
    <x:row r="50" ht="22" customHeight="1">
      <x:c r="A50" s="2"/>
      <x:c r="B50" s="2"/>
      <x:c r="C50" s="2"/>
      <x:c r="D50" s="3"/>
      <x:c r="E50" s="3"/>
      <x:c r="F50" s="3"/>
      <x:c r="G50" s="3"/>
      <x:c r="H50" s="3"/>
      <x:c r="I50" s="3"/>
      <x:c r="J50" s="2"/>
      <x:c r="K50" s="2"/>
      <x:c r="L50" s="2"/>
      <x:c r="M50" s="2"/>
      <x:c r="N50" s="2"/>
      <x:c r="O50" s="2"/>
      <x:c r="P50" s="2"/>
      <x:c r="Q50" s="2"/>
    </x:row>
    <x:row r="51" ht="22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2"/>
      <x:c r="K51" s="2"/>
      <x:c r="L51" s="2"/>
      <x:c r="M51" s="2"/>
      <x:c r="N51" s="2"/>
      <x:c r="O51" s="2"/>
      <x:c r="P51" s="2"/>
      <x:c r="Q51" s="2"/>
    </x:row>
    <x:row r="52" ht="22" customHeight="1">
      <x:c r="A52" s="2"/>
      <x:c r="B52" s="2"/>
      <x:c r="C52" s="2"/>
      <x:c r="D52" s="3"/>
      <x:c r="E52" s="3"/>
      <x:c r="F52" s="3"/>
      <x:c r="G52" s="3"/>
      <x:c r="H52" s="3"/>
      <x:c r="I52" s="3"/>
      <x:c r="J52" s="2"/>
      <x:c r="K52" s="2"/>
      <x:c r="L52" s="2"/>
      <x:c r="M52" s="2"/>
      <x:c r="N52" s="2"/>
      <x:c r="O52" s="2"/>
      <x:c r="P52" s="2"/>
      <x:c r="Q52" s="2"/>
    </x:row>
    <x:row r="53" ht="22" customHeight="1">
      <x:c r="A53" s="2"/>
      <x:c r="B53" s="2"/>
      <x:c r="C53" s="2"/>
      <x:c r="D53" s="3"/>
      <x:c r="E53" s="3"/>
      <x:c r="F53" s="3"/>
      <x:c r="G53" s="3"/>
      <x:c r="H53" s="3"/>
      <x:c r="I53" s="3"/>
      <x:c r="J53" s="2"/>
      <x:c r="K53" s="2"/>
      <x:c r="L53" s="2"/>
      <x:c r="M53" s="2"/>
      <x:c r="N53" s="2"/>
      <x:c r="O53" s="2"/>
      <x:c r="P53" s="2"/>
      <x:c r="Q53" s="2"/>
    </x:row>
    <x:row r="54" ht="22" customHeight="1">
      <x:c r="A54" s="2"/>
      <x:c r="B54" s="2"/>
      <x:c r="C54" s="2"/>
      <x:c r="D54" s="3"/>
      <x:c r="E54" s="3"/>
      <x:c r="F54" s="3"/>
      <x:c r="G54" s="3"/>
      <x:c r="H54" s="3"/>
      <x:c r="I54" s="3"/>
      <x:c r="J54" s="2"/>
      <x:c r="K54" s="2"/>
      <x:c r="L54" s="2"/>
      <x:c r="M54" s="2"/>
      <x:c r="N54" s="2"/>
      <x:c r="O54" s="2"/>
      <x:c r="P54" s="2"/>
      <x:c r="Q54" s="2"/>
    </x:row>
    <x:row r="55" ht="22" customHeight="1">
      <x:c r="A55" s="2"/>
      <x:c r="B55" s="2"/>
      <x:c r="C55" s="2"/>
      <x:c r="D55" s="3"/>
      <x:c r="E55" s="3"/>
      <x:c r="F55" s="3"/>
      <x:c r="G55" s="3"/>
      <x:c r="H55" s="3"/>
      <x:c r="I55" s="3"/>
      <x:c r="J55" s="2"/>
      <x:c r="K55" s="2"/>
      <x:c r="L55" s="2"/>
      <x:c r="M55" s="2"/>
      <x:c r="N55" s="2"/>
      <x:c r="O55" s="2"/>
      <x:c r="P55" s="2"/>
      <x:c r="Q55" s="2"/>
    </x:row>
    <x:row r="56" ht="22" customHeight="1">
      <x:c r="A56" s="2"/>
      <x:c r="B56" s="2"/>
      <x:c r="C56" s="2"/>
      <x:c r="D56" s="3"/>
      <x:c r="E56" s="3"/>
      <x:c r="F56" s="3"/>
      <x:c r="G56" s="3"/>
      <x:c r="H56" s="3"/>
      <x:c r="I56" s="3"/>
      <x:c r="J56" s="2"/>
      <x:c r="K56" s="2"/>
      <x:c r="L56" s="2"/>
      <x:c r="M56" s="2"/>
      <x:c r="N56" s="2"/>
      <x:c r="O56" s="2"/>
      <x:c r="P56" s="2"/>
      <x:c r="Q56" s="2"/>
    </x:row>
    <x:row r="57" ht="22" customHeight="1">
      <x:c r="A57" s="2"/>
      <x:c r="B57" s="2"/>
      <x:c r="C57" s="2"/>
      <x:c r="D57" s="3"/>
      <x:c r="E57" s="3"/>
      <x:c r="F57" s="3"/>
      <x:c r="G57" s="3"/>
      <x:c r="H57" s="3"/>
      <x:c r="I57" s="3"/>
      <x:c r="J57" s="2"/>
      <x:c r="K57" s="2"/>
      <x:c r="L57" s="2"/>
      <x:c r="M57" s="2"/>
      <x:c r="N57" s="2"/>
      <x:c r="O57" s="2"/>
      <x:c r="P57" s="2"/>
      <x:c r="Q57" s="2"/>
    </x:row>
    <x:row r="58" ht="22" customHeight="1">
      <x:c r="A58" s="2"/>
      <x:c r="B58" s="2"/>
      <x:c r="C58" s="2"/>
      <x:c r="D58" s="3"/>
      <x:c r="E58" s="3"/>
      <x:c r="F58" s="3"/>
      <x:c r="G58" s="3"/>
      <x:c r="H58" s="3"/>
      <x:c r="I58" s="3"/>
      <x:c r="J58" s="2"/>
      <x:c r="K58" s="2"/>
      <x:c r="L58" s="2"/>
      <x:c r="M58" s="2"/>
      <x:c r="N58" s="2"/>
      <x:c r="O58" s="2"/>
      <x:c r="P58" s="2"/>
      <x:c r="Q58" s="2"/>
    </x:row>
    <x:row r="59" ht="22" customHeight="1">
      <x:c r="A59" s="2"/>
      <x:c r="B59" s="2"/>
      <x:c r="C59" s="2"/>
      <x:c r="D59" s="3"/>
      <x:c r="E59" s="3"/>
      <x:c r="F59" s="3"/>
      <x:c r="G59" s="3"/>
      <x:c r="H59" s="3"/>
      <x:c r="I59" s="3"/>
      <x:c r="J59" s="2"/>
      <x:c r="K59" s="2"/>
      <x:c r="L59" s="2"/>
      <x:c r="M59" s="2"/>
      <x:c r="N59" s="2"/>
      <x:c r="O59" s="2"/>
      <x:c r="P59" s="2"/>
      <x:c r="Q59" s="2"/>
    </x:row>
    <x:row r="60" ht="22" customHeight="1">
      <x:c r="A60" s="2"/>
      <x:c r="B60" s="2"/>
      <x:c r="C60" s="2"/>
      <x:c r="D60" s="3"/>
      <x:c r="E60" s="3"/>
      <x:c r="F60" s="3"/>
      <x:c r="G60" s="3"/>
      <x:c r="H60" s="3"/>
      <x:c r="I60" s="3"/>
      <x:c r="J60" s="2"/>
      <x:c r="K60" s="2"/>
      <x:c r="L60" s="2"/>
      <x:c r="M60" s="2"/>
      <x:c r="N60" s="2"/>
      <x:c r="O60" s="2"/>
      <x:c r="P60" s="2"/>
      <x:c r="Q60" s="2"/>
    </x:row>
    <x:row r="61" ht="22" customHeight="1">
      <x:c r="A61" s="2"/>
      <x:c r="B61" s="2"/>
      <x:c r="C61" s="2"/>
      <x:c r="D61" s="3"/>
      <x:c r="E61" s="3"/>
      <x:c r="F61" s="3"/>
      <x:c r="G61" s="3"/>
      <x:c r="H61" s="3"/>
      <x:c r="I61" s="3"/>
      <x:c r="J61" s="2"/>
      <x:c r="K61" s="2"/>
      <x:c r="L61" s="2"/>
      <x:c r="M61" s="2"/>
      <x:c r="N61" s="2"/>
      <x:c r="O61" s="2"/>
      <x:c r="P61" s="2"/>
      <x:c r="Q61" s="2"/>
    </x:row>
    <x:row r="62" ht="22" customHeight="1">
      <x:c r="A62" s="2"/>
      <x:c r="B62" s="2"/>
      <x:c r="C62" s="2"/>
      <x:c r="D62" s="3"/>
      <x:c r="E62" s="3"/>
      <x:c r="F62" s="3"/>
      <x:c r="G62" s="3"/>
      <x:c r="H62" s="3"/>
      <x:c r="I62" s="3"/>
      <x:c r="J62" s="2"/>
      <x:c r="K62" s="2"/>
      <x:c r="L62" s="2"/>
      <x:c r="M62" s="2"/>
      <x:c r="N62" s="2"/>
      <x:c r="O62" s="2"/>
      <x:c r="P62" s="2"/>
      <x:c r="Q62" s="2"/>
    </x:row>
    <x:row r="63" ht="22" customHeight="1">
      <x:c r="A63" s="2"/>
      <x:c r="B63" s="2"/>
      <x:c r="C63" s="2"/>
      <x:c r="D63" s="3"/>
      <x:c r="E63" s="3"/>
      <x:c r="F63" s="3"/>
      <x:c r="G63" s="3"/>
      <x:c r="H63" s="3"/>
      <x:c r="I63" s="3"/>
      <x:c r="J63" s="2"/>
      <x:c r="K63" s="2"/>
      <x:c r="L63" s="2"/>
      <x:c r="M63" s="2"/>
      <x:c r="N63" s="2"/>
      <x:c r="O63" s="2"/>
      <x:c r="P63" s="2"/>
      <x:c r="Q63" s="2"/>
    </x:row>
    <x:row r="64" ht="22" customHeight="1">
      <x:c r="A64" s="2"/>
      <x:c r="B64" s="2"/>
      <x:c r="C64" s="2"/>
      <x:c r="D64" s="3"/>
      <x:c r="E64" s="3"/>
      <x:c r="F64" s="3"/>
      <x:c r="G64" s="3"/>
      <x:c r="H64" s="3"/>
      <x:c r="I64" s="3"/>
      <x:c r="J64" s="2"/>
      <x:c r="K64" s="2"/>
      <x:c r="L64" s="2"/>
      <x:c r="M64" s="2"/>
      <x:c r="N64" s="2"/>
      <x:c r="O64" s="2"/>
      <x:c r="P64" s="2"/>
      <x:c r="Q64" s="2"/>
    </x:row>
    <x:row r="65" ht="22" customHeight="1">
      <x:c r="A65" s="2"/>
      <x:c r="B65" s="2"/>
      <x:c r="C65" s="2"/>
      <x:c r="D65" s="3"/>
      <x:c r="E65" s="3"/>
      <x:c r="F65" s="3"/>
      <x:c r="G65" s="3"/>
      <x:c r="H65" s="3"/>
      <x:c r="I65" s="3"/>
      <x:c r="J65" s="2"/>
      <x:c r="K65" s="2"/>
      <x:c r="L65" s="2"/>
      <x:c r="M65" s="2"/>
      <x:c r="N65" s="2"/>
      <x:c r="O65" s="2"/>
      <x:c r="P65" s="2"/>
      <x:c r="Q65" s="2"/>
    </x:row>
    <x:row r="66" ht="22" customHeight="1">
      <x:c r="A66" s="2"/>
      <x:c r="B66" s="2"/>
      <x:c r="C66" s="2"/>
      <x:c r="D66" s="3"/>
      <x:c r="E66" s="3"/>
      <x:c r="F66" s="3"/>
      <x:c r="G66" s="3"/>
      <x:c r="H66" s="3"/>
      <x:c r="I66" s="3"/>
      <x:c r="J66" s="2"/>
      <x:c r="K66" s="2"/>
      <x:c r="L66" s="2"/>
      <x:c r="M66" s="2"/>
      <x:c r="N66" s="2"/>
      <x:c r="O66" s="2"/>
      <x:c r="P66" s="2"/>
      <x:c r="Q66" s="2"/>
    </x:row>
    <x:row r="67" ht="22" customHeight="1">
      <x:c r="A67" s="2"/>
      <x:c r="B67" s="2"/>
      <x:c r="C67" s="2"/>
      <x:c r="D67" s="3"/>
      <x:c r="E67" s="3"/>
      <x:c r="F67" s="3"/>
      <x:c r="G67" s="3"/>
      <x:c r="H67" s="3"/>
      <x:c r="I67" s="3"/>
      <x:c r="J67" s="2"/>
      <x:c r="K67" s="2"/>
      <x:c r="L67" s="2"/>
      <x:c r="M67" s="2"/>
      <x:c r="N67" s="2"/>
      <x:c r="O67" s="2"/>
      <x:c r="P67" s="2"/>
      <x:c r="Q67" s="2"/>
    </x:row>
    <x:row r="68" ht="22" customHeight="1">
      <x:c r="A68" s="2"/>
      <x:c r="B68" s="2"/>
      <x:c r="C68" s="2"/>
      <x:c r="D68" s="3"/>
      <x:c r="E68" s="3"/>
      <x:c r="F68" s="3"/>
      <x:c r="G68" s="3"/>
      <x:c r="H68" s="3"/>
      <x:c r="I68" s="3"/>
      <x:c r="J68" s="2"/>
      <x:c r="K68" s="2"/>
      <x:c r="L68" s="2"/>
      <x:c r="M68" s="2"/>
      <x:c r="N68" s="2"/>
      <x:c r="O68" s="2"/>
      <x:c r="P68" s="2"/>
      <x:c r="Q68" s="2"/>
    </x:row>
    <x:row r="69" ht="22" customHeight="1">
      <x:c r="A69" s="2"/>
      <x:c r="B69" s="2"/>
      <x:c r="C69" s="2"/>
      <x:c r="D69" s="3"/>
      <x:c r="E69" s="3"/>
      <x:c r="F69" s="3"/>
      <x:c r="G69" s="3"/>
      <x:c r="H69" s="3"/>
      <x:c r="I69" s="3"/>
      <x:c r="J69" s="2"/>
      <x:c r="K69" s="2"/>
      <x:c r="L69" s="2"/>
      <x:c r="M69" s="2"/>
      <x:c r="N69" s="2"/>
      <x:c r="O69" s="2"/>
      <x:c r="P69" s="2"/>
      <x:c r="Q69" s="2"/>
    </x:row>
    <x:row r="70" ht="22" customHeight="1">
      <x:c r="A70" s="2"/>
      <x:c r="B70" s="2"/>
      <x:c r="C70" s="2"/>
      <x:c r="D70" s="3"/>
      <x:c r="E70" s="3"/>
      <x:c r="F70" s="3"/>
      <x:c r="G70" s="3"/>
      <x:c r="H70" s="3"/>
      <x:c r="I70" s="3"/>
      <x:c r="J70" s="2"/>
      <x:c r="K70" s="2"/>
      <x:c r="L70" s="2"/>
      <x:c r="M70" s="2"/>
      <x:c r="N70" s="2"/>
      <x:c r="O70" s="2"/>
      <x:c r="P70" s="2"/>
      <x:c r="Q70" s="2"/>
    </x:row>
    <x:row r="71" ht="22" customHeight="1">
      <x:c r="A71" s="2"/>
      <x:c r="B71" s="2"/>
      <x:c r="C71" s="2"/>
      <x:c r="D71" s="3"/>
      <x:c r="E71" s="3"/>
      <x:c r="F71" s="3"/>
      <x:c r="G71" s="3"/>
      <x:c r="H71" s="3"/>
      <x:c r="I71" s="3"/>
      <x:c r="J71" s="2"/>
      <x:c r="K71" s="2"/>
      <x:c r="L71" s="2"/>
      <x:c r="M71" s="2"/>
      <x:c r="N71" s="2"/>
      <x:c r="O71" s="2"/>
      <x:c r="P71" s="2"/>
      <x:c r="Q71" s="2"/>
    </x:row>
    <x:row r="72" ht="22" customHeight="1">
      <x:c r="A72" s="2"/>
      <x:c r="B72" s="2"/>
      <x:c r="C72" s="2"/>
      <x:c r="D72" s="3"/>
      <x:c r="E72" s="3"/>
      <x:c r="F72" s="3"/>
      <x:c r="G72" s="3"/>
      <x:c r="H72" s="3"/>
      <x:c r="I72" s="3"/>
      <x:c r="J72" s="2"/>
      <x:c r="K72" s="2"/>
      <x:c r="L72" s="2"/>
      <x:c r="M72" s="2"/>
      <x:c r="N72" s="2"/>
      <x:c r="O72" s="2"/>
      <x:c r="P72" s="2"/>
      <x:c r="Q72" s="2"/>
    </x:row>
    <x:row r="73" ht="22" customHeight="1">
      <x:c r="A73" s="2"/>
      <x:c r="B73" s="2"/>
      <x:c r="C73" s="2"/>
      <x:c r="D73" s="3"/>
      <x:c r="E73" s="3"/>
      <x:c r="F73" s="3"/>
      <x:c r="G73" s="3"/>
      <x:c r="H73" s="3"/>
      <x:c r="I73" s="3"/>
      <x:c r="J73" s="2"/>
      <x:c r="K73" s="2"/>
      <x:c r="L73" s="2"/>
      <x:c r="M73" s="2"/>
      <x:c r="N73" s="2"/>
      <x:c r="O73" s="2"/>
      <x:c r="P73" s="2"/>
      <x:c r="Q73" s="2"/>
    </x:row>
    <x:row r="74" ht="22" customHeight="1">
      <x:c r="A74" s="2"/>
      <x:c r="B74" s="2"/>
      <x:c r="C74" s="2"/>
      <x:c r="D74" s="3"/>
      <x:c r="E74" s="3"/>
      <x:c r="F74" s="3"/>
      <x:c r="G74" s="3"/>
      <x:c r="H74" s="3"/>
      <x:c r="I74" s="3"/>
      <x:c r="J74" s="2"/>
      <x:c r="K74" s="2"/>
      <x:c r="L74" s="2"/>
      <x:c r="M74" s="2"/>
      <x:c r="N74" s="2"/>
      <x:c r="O74" s="2"/>
      <x:c r="P74" s="2"/>
      <x:c r="Q74" s="2"/>
    </x:row>
    <x:row r="75" ht="22" customHeight="1">
      <x:c r="A75" s="2"/>
      <x:c r="B75" s="2"/>
      <x:c r="C75" s="2"/>
      <x:c r="D75" s="3"/>
      <x:c r="E75" s="3"/>
      <x:c r="F75" s="3"/>
      <x:c r="G75" s="3"/>
      <x:c r="H75" s="3"/>
      <x:c r="I75" s="3"/>
      <x:c r="J75" s="2"/>
      <x:c r="K75" s="2"/>
      <x:c r="L75" s="2"/>
      <x:c r="M75" s="2"/>
      <x:c r="N75" s="2"/>
      <x:c r="O75" s="2"/>
      <x:c r="P75" s="2"/>
      <x:c r="Q75" s="2"/>
    </x:row>
    <x:row r="76" ht="22" customHeight="1">
      <x:c r="A76" s="2"/>
      <x:c r="B76" s="2"/>
      <x:c r="C76" s="2"/>
      <x:c r="D76" s="3"/>
      <x:c r="E76" s="3"/>
      <x:c r="F76" s="3"/>
      <x:c r="G76" s="3"/>
      <x:c r="H76" s="3"/>
      <x:c r="I76" s="3"/>
      <x:c r="J76" s="2"/>
      <x:c r="K76" s="2"/>
      <x:c r="L76" s="2"/>
      <x:c r="M76" s="2"/>
      <x:c r="N76" s="2"/>
      <x:c r="O76" s="2"/>
      <x:c r="P76" s="2"/>
      <x:c r="Q76" s="2"/>
    </x:row>
    <x:row r="77" ht="22" customHeight="1">
      <x:c r="A77" s="2"/>
      <x:c r="B77" s="2"/>
      <x:c r="C77" s="2"/>
      <x:c r="D77" s="3"/>
      <x:c r="E77" s="3"/>
      <x:c r="F77" s="3"/>
      <x:c r="G77" s="3"/>
      <x:c r="H77" s="3"/>
      <x:c r="I77" s="3"/>
      <x:c r="J77" s="2"/>
      <x:c r="K77" s="2"/>
      <x:c r="L77" s="2"/>
      <x:c r="M77" s="2"/>
      <x:c r="N77" s="2"/>
      <x:c r="O77" s="2"/>
      <x:c r="P77" s="2"/>
      <x:c r="Q77" s="2"/>
    </x:row>
    <x:row r="78" ht="22" customHeight="1">
      <x:c r="A78" s="2"/>
      <x:c r="B78" s="2"/>
      <x:c r="C78" s="2"/>
      <x:c r="D78" s="3"/>
      <x:c r="E78" s="3"/>
      <x:c r="F78" s="3"/>
      <x:c r="G78" s="3"/>
      <x:c r="H78" s="3"/>
      <x:c r="I78" s="3"/>
      <x:c r="J78" s="2"/>
      <x:c r="K78" s="2"/>
      <x:c r="L78" s="2"/>
      <x:c r="M78" s="2"/>
      <x:c r="N78" s="2"/>
      <x:c r="O78" s="2"/>
      <x:c r="P78" s="2"/>
      <x:c r="Q78" s="2"/>
    </x:row>
    <x:row r="79" ht="22" customHeight="1">
      <x:c r="A79" s="2"/>
      <x:c r="B79" s="2"/>
      <x:c r="C79" s="2"/>
      <x:c r="D79" s="3"/>
      <x:c r="E79" s="3"/>
      <x:c r="F79" s="3"/>
      <x:c r="G79" s="3"/>
      <x:c r="H79" s="3"/>
      <x:c r="I79" s="3"/>
      <x:c r="J79" s="2"/>
      <x:c r="K79" s="2"/>
      <x:c r="L79" s="2"/>
      <x:c r="M79" s="2"/>
      <x:c r="N79" s="2"/>
      <x:c r="O79" s="2"/>
      <x:c r="P79" s="2"/>
      <x:c r="Q79" s="2"/>
    </x:row>
    <x:row r="80" ht="22" customHeight="1">
      <x:c r="A80" s="2"/>
      <x:c r="B80" s="2"/>
      <x:c r="C80" s="2"/>
      <x:c r="D80" s="3"/>
      <x:c r="E80" s="3"/>
      <x:c r="F80" s="3"/>
      <x:c r="G80" s="3"/>
      <x:c r="H80" s="3"/>
      <x:c r="I80" s="3"/>
      <x:c r="J80" s="2"/>
      <x:c r="K80" s="2"/>
      <x:c r="L80" s="2"/>
      <x:c r="M80" s="2"/>
      <x:c r="N80" s="2"/>
      <x:c r="O80" s="2"/>
      <x:c r="P80" s="2"/>
      <x:c r="Q80" s="2"/>
    </x:row>
    <x:row r="81" ht="22" customHeight="1">
      <x:c r="A81" s="2"/>
      <x:c r="B81" s="2"/>
      <x:c r="C81" s="2"/>
      <x:c r="D81" s="3"/>
      <x:c r="E81" s="3"/>
      <x:c r="F81" s="3"/>
      <x:c r="G81" s="3"/>
      <x:c r="H81" s="3"/>
      <x:c r="I81" s="3"/>
      <x:c r="J81" s="2"/>
      <x:c r="K81" s="2"/>
      <x:c r="L81" s="2"/>
      <x:c r="M81" s="2"/>
      <x:c r="N81" s="2"/>
      <x:c r="O81" s="2"/>
      <x:c r="P81" s="2"/>
      <x:c r="Q81" s="2"/>
    </x:row>
    <x:row r="82" ht="22" customHeight="1">
      <x:c r="A82" s="2"/>
      <x:c r="B82" s="2"/>
      <x:c r="C82" s="2"/>
      <x:c r="D82" s="3"/>
      <x:c r="E82" s="3"/>
      <x:c r="F82" s="3"/>
      <x:c r="G82" s="3"/>
      <x:c r="H82" s="3"/>
      <x:c r="I82" s="3"/>
      <x:c r="J82" s="2"/>
      <x:c r="K82" s="2"/>
      <x:c r="L82" s="2"/>
      <x:c r="M82" s="2"/>
      <x:c r="N82" s="2"/>
      <x:c r="O82" s="2"/>
      <x:c r="P82" s="2"/>
      <x:c r="Q82" s="2"/>
    </x:row>
    <x:row r="83" ht="22" customHeight="1">
      <x:c r="A83" s="2"/>
      <x:c r="B83" s="2"/>
      <x:c r="C83" s="2"/>
      <x:c r="D83" s="3"/>
      <x:c r="E83" s="3"/>
      <x:c r="F83" s="3"/>
      <x:c r="G83" s="3"/>
      <x:c r="H83" s="3"/>
      <x:c r="I83" s="3"/>
      <x:c r="J83" s="2"/>
      <x:c r="K83" s="2"/>
      <x:c r="L83" s="2"/>
      <x:c r="M83" s="2"/>
      <x:c r="N83" s="2"/>
      <x:c r="O83" s="2"/>
      <x:c r="P83" s="2"/>
      <x:c r="Q83" s="2"/>
    </x:row>
    <x:row r="84" ht="22" customHeight="1">
      <x:c r="A84" s="2"/>
      <x:c r="B84" s="2"/>
      <x:c r="C84" s="2"/>
      <x:c r="D84" s="3"/>
      <x:c r="E84" s="3"/>
      <x:c r="F84" s="3"/>
      <x:c r="G84" s="3"/>
      <x:c r="H84" s="3"/>
      <x:c r="I84" s="3"/>
      <x:c r="J84" s="2"/>
      <x:c r="K84" s="2"/>
      <x:c r="L84" s="2"/>
      <x:c r="M84" s="2"/>
      <x:c r="N84" s="2"/>
      <x:c r="O84" s="2"/>
      <x:c r="P84" s="2"/>
      <x:c r="Q84" s="2"/>
    </x:row>
    <x:row r="85" ht="22" customHeight="1">
      <x:c r="A85" s="2"/>
      <x:c r="B85" s="2"/>
      <x:c r="C85" s="2"/>
      <x:c r="D85" s="3"/>
      <x:c r="E85" s="3"/>
      <x:c r="F85" s="3"/>
      <x:c r="G85" s="3"/>
      <x:c r="H85" s="3"/>
      <x:c r="I85" s="3"/>
      <x:c r="J85" s="2"/>
      <x:c r="K85" s="2"/>
      <x:c r="L85" s="2"/>
      <x:c r="M85" s="2"/>
      <x:c r="N85" s="2"/>
      <x:c r="O85" s="2"/>
      <x:c r="P85" s="2"/>
      <x:c r="Q85" s="2"/>
    </x:row>
    <x:row r="86" ht="22" customHeight="1">
      <x:c r="A86" s="2"/>
      <x:c r="B86" s="2"/>
      <x:c r="C86" s="2"/>
      <x:c r="D86" s="3"/>
      <x:c r="E86" s="3"/>
      <x:c r="F86" s="3"/>
      <x:c r="G86" s="3"/>
      <x:c r="H86" s="3"/>
      <x:c r="I86" s="3"/>
      <x:c r="J86" s="2"/>
      <x:c r="K86" s="2"/>
      <x:c r="L86" s="2"/>
      <x:c r="M86" s="2"/>
      <x:c r="N86" s="2"/>
      <x:c r="O86" s="2"/>
      <x:c r="P86" s="2"/>
      <x:c r="Q86" s="2"/>
    </x:row>
    <x:row r="87" ht="22" customHeight="1">
      <x:c r="A87" s="2"/>
      <x:c r="B87" s="2"/>
      <x:c r="C87" s="2"/>
      <x:c r="D87" s="3"/>
      <x:c r="E87" s="3"/>
      <x:c r="F87" s="3"/>
      <x:c r="G87" s="3"/>
      <x:c r="H87" s="3"/>
      <x:c r="I87" s="3"/>
      <x:c r="J87" s="2"/>
      <x:c r="K87" s="2"/>
      <x:c r="L87" s="2"/>
      <x:c r="M87" s="2"/>
      <x:c r="N87" s="2"/>
      <x:c r="O87" s="2"/>
      <x:c r="P87" s="2"/>
      <x:c r="Q87" s="2"/>
    </x:row>
    <x:row r="88" ht="22" customHeight="1">
      <x:c r="A88" s="2"/>
      <x:c r="B88" s="2"/>
      <x:c r="C88" s="2"/>
      <x:c r="D88" s="3"/>
      <x:c r="E88" s="3"/>
      <x:c r="F88" s="3"/>
      <x:c r="G88" s="3"/>
      <x:c r="H88" s="3"/>
      <x:c r="I88" s="3"/>
      <x:c r="J88" s="2"/>
      <x:c r="K88" s="2"/>
      <x:c r="L88" s="2"/>
      <x:c r="M88" s="2"/>
      <x:c r="N88" s="2"/>
      <x:c r="O88" s="2"/>
      <x:c r="P88" s="2"/>
      <x:c r="Q88" s="2"/>
    </x:row>
    <x:row r="89" ht="22" customHeight="1">
      <x:c r="A89" s="2"/>
      <x:c r="B89" s="2"/>
      <x:c r="C89" s="2"/>
      <x:c r="D89" s="3"/>
      <x:c r="E89" s="3"/>
      <x:c r="F89" s="3"/>
      <x:c r="G89" s="3"/>
      <x:c r="H89" s="3"/>
      <x:c r="I89" s="3"/>
      <x:c r="J89" s="2"/>
      <x:c r="K89" s="2"/>
      <x:c r="L89" s="2"/>
      <x:c r="M89" s="2"/>
      <x:c r="N89" s="2"/>
      <x:c r="O89" s="2"/>
      <x:c r="P89" s="2"/>
      <x:c r="Q89" s="2"/>
    </x:row>
    <x:row r="90" ht="22" customHeight="1">
      <x:c r="A90" s="2"/>
      <x:c r="B90" s="2"/>
      <x:c r="C90" s="2"/>
      <x:c r="D90" s="3"/>
      <x:c r="E90" s="3"/>
      <x:c r="F90" s="3"/>
      <x:c r="G90" s="3"/>
      <x:c r="H90" s="3"/>
      <x:c r="I90" s="3"/>
      <x:c r="J90" s="2"/>
      <x:c r="K90" s="2"/>
      <x:c r="L90" s="2"/>
      <x:c r="M90" s="2"/>
      <x:c r="N90" s="2"/>
      <x:c r="O90" s="2"/>
      <x:c r="P90" s="2"/>
      <x:c r="Q90" s="2"/>
    </x:row>
    <x:row r="91" ht="22" customHeight="1">
      <x:c r="A91" s="2"/>
      <x:c r="B91" s="2"/>
      <x:c r="C91" s="2"/>
      <x:c r="D91" s="3"/>
      <x:c r="E91" s="3"/>
      <x:c r="F91" s="3"/>
      <x:c r="G91" s="3"/>
      <x:c r="H91" s="3"/>
      <x:c r="I91" s="3"/>
      <x:c r="J91" s="2"/>
      <x:c r="K91" s="2"/>
      <x:c r="L91" s="2"/>
      <x:c r="M91" s="2"/>
      <x:c r="N91" s="2"/>
      <x:c r="O91" s="2"/>
      <x:c r="P91" s="2"/>
      <x:c r="Q91" s="2"/>
    </x:row>
    <x:row r="92" ht="22" customHeight="1">
      <x:c r="A92" s="2"/>
      <x:c r="B92" s="2"/>
      <x:c r="C92" s="2"/>
      <x:c r="D92" s="3"/>
      <x:c r="E92" s="3"/>
      <x:c r="F92" s="3"/>
      <x:c r="G92" s="3"/>
      <x:c r="H92" s="3"/>
      <x:c r="I92" s="3"/>
      <x:c r="J92" s="2"/>
      <x:c r="K92" s="2"/>
      <x:c r="L92" s="2"/>
      <x:c r="M92" s="2"/>
      <x:c r="N92" s="2"/>
      <x:c r="O92" s="2"/>
      <x:c r="P92" s="2"/>
      <x:c r="Q92" s="2"/>
    </x:row>
    <x:row r="93" ht="22" customHeight="1">
      <x:c r="A93" s="2"/>
      <x:c r="B93" s="2"/>
      <x:c r="C93" s="2"/>
      <x:c r="D93" s="3"/>
      <x:c r="E93" s="3"/>
      <x:c r="F93" s="3"/>
      <x:c r="G93" s="3"/>
      <x:c r="H93" s="3"/>
      <x:c r="I93" s="3"/>
      <x:c r="J93" s="2"/>
      <x:c r="K93" s="2"/>
      <x:c r="L93" s="2"/>
      <x:c r="M93" s="2"/>
      <x:c r="N93" s="2"/>
      <x:c r="O93" s="2"/>
      <x:c r="P93" s="2"/>
      <x:c r="Q93" s="2"/>
    </x:row>
    <x:row r="94" ht="22" customHeight="1">
      <x:c r="A94" s="2"/>
      <x:c r="B94" s="2"/>
      <x:c r="C94" s="2"/>
      <x:c r="D94" s="3"/>
      <x:c r="E94" s="3"/>
      <x:c r="F94" s="3"/>
      <x:c r="G94" s="3"/>
      <x:c r="H94" s="3"/>
      <x:c r="I94" s="3"/>
      <x:c r="J94" s="2"/>
      <x:c r="K94" s="2"/>
      <x:c r="L94" s="2"/>
      <x:c r="M94" s="2"/>
      <x:c r="N94" s="2"/>
      <x:c r="O94" s="2"/>
      <x:c r="P94" s="2"/>
      <x:c r="Q94" s="2"/>
    </x:row>
    <x:row r="95" ht="22" customHeight="1">
      <x:c r="A95" s="2"/>
      <x:c r="B95" s="2"/>
      <x:c r="C95" s="2"/>
      <x:c r="D95" s="3"/>
      <x:c r="E95" s="3"/>
      <x:c r="F95" s="3"/>
      <x:c r="G95" s="3"/>
      <x:c r="H95" s="3"/>
      <x:c r="I95" s="3"/>
      <x:c r="J95" s="2"/>
      <x:c r="K95" s="2"/>
      <x:c r="L95" s="2"/>
      <x:c r="M95" s="2"/>
      <x:c r="N95" s="2"/>
      <x:c r="O95" s="2"/>
      <x:c r="P95" s="2"/>
      <x:c r="Q95" s="2"/>
    </x:row>
    <x:row r="96" ht="22" customHeight="1">
      <x:c r="A96" s="2"/>
      <x:c r="B96" s="2"/>
      <x:c r="C96" s="2"/>
      <x:c r="D96" s="3"/>
      <x:c r="E96" s="3"/>
      <x:c r="F96" s="3"/>
      <x:c r="G96" s="3"/>
      <x:c r="H96" s="3"/>
      <x:c r="I96" s="3"/>
      <x:c r="J96" s="2"/>
      <x:c r="K96" s="2"/>
      <x:c r="L96" s="2"/>
      <x:c r="M96" s="2"/>
      <x:c r="N96" s="2"/>
      <x:c r="O96" s="2"/>
      <x:c r="P96" s="2"/>
      <x:c r="Q96" s="2"/>
    </x:row>
    <x:row r="97" ht="22" customHeight="1">
      <x:c r="A97" s="2"/>
      <x:c r="B97" s="2"/>
      <x:c r="C97" s="2"/>
      <x:c r="D97" s="3"/>
      <x:c r="E97" s="3"/>
      <x:c r="F97" s="3"/>
      <x:c r="G97" s="3"/>
      <x:c r="H97" s="3"/>
      <x:c r="I97" s="3"/>
      <x:c r="J97" s="2"/>
      <x:c r="K97" s="2"/>
      <x:c r="L97" s="2"/>
      <x:c r="M97" s="2"/>
      <x:c r="N97" s="2"/>
      <x:c r="O97" s="2"/>
      <x:c r="P97" s="2"/>
      <x:c r="Q97" s="2"/>
    </x:row>
    <x:row r="98" ht="22" customHeight="1">
      <x:c r="A98" s="2"/>
      <x:c r="B98" s="2"/>
      <x:c r="C98" s="2"/>
      <x:c r="D98" s="3"/>
      <x:c r="E98" s="3"/>
      <x:c r="F98" s="3"/>
      <x:c r="G98" s="3"/>
      <x:c r="H98" s="3"/>
      <x:c r="I98" s="3"/>
      <x:c r="J98" s="2"/>
      <x:c r="K98" s="2"/>
      <x:c r="L98" s="2"/>
      <x:c r="M98" s="2"/>
      <x:c r="N98" s="2"/>
      <x:c r="O98" s="2"/>
      <x:c r="P98" s="2"/>
      <x:c r="Q98" s="2"/>
    </x:row>
    <x:row r="99" ht="22" customHeight="1">
      <x:c r="A99" s="2"/>
      <x:c r="B99" s="2"/>
      <x:c r="C99" s="2"/>
      <x:c r="D99" s="3"/>
      <x:c r="E99" s="3"/>
      <x:c r="F99" s="3"/>
      <x:c r="G99" s="3"/>
      <x:c r="H99" s="3"/>
      <x:c r="I99" s="3"/>
      <x:c r="J99" s="2"/>
      <x:c r="K99" s="2"/>
      <x:c r="L99" s="2"/>
      <x:c r="M99" s="2"/>
      <x:c r="N99" s="2"/>
      <x:c r="O99" s="2"/>
      <x:c r="P99" s="2"/>
      <x:c r="Q99" s="2"/>
    </x:row>
    <x:row r="100" ht="22" customHeight="1">
      <x:c r="A100" s="2"/>
      <x:c r="B100" s="2"/>
      <x:c r="C100" s="2"/>
      <x:c r="D100" s="3"/>
      <x:c r="E100" s="3"/>
      <x:c r="F100" s="3"/>
      <x:c r="G100" s="3"/>
      <x:c r="H100" s="3"/>
      <x:c r="I100" s="3"/>
      <x:c r="J100" s="2"/>
      <x:c r="K100" s="2"/>
      <x:c r="L100" s="2"/>
      <x:c r="M100" s="2"/>
      <x:c r="N100" s="2"/>
      <x:c r="O100" s="2"/>
      <x:c r="P100" s="2"/>
      <x:c r="Q100" s="2"/>
    </x:row>
    <x:row r="101" ht="22" customHeight="1">
      <x:c r="A101" s="2"/>
      <x:c r="B101" s="2"/>
      <x:c r="C101" s="2"/>
      <x:c r="D101" s="3"/>
      <x:c r="E101" s="3"/>
      <x:c r="F101" s="3"/>
      <x:c r="G101" s="3"/>
      <x:c r="H101" s="3"/>
      <x:c r="I101" s="3"/>
      <x:c r="J101" s="2"/>
      <x:c r="K101" s="2"/>
      <x:c r="L101" s="2"/>
      <x:c r="M101" s="2"/>
      <x:c r="N101" s="2"/>
      <x:c r="O101" s="2"/>
      <x:c r="P101" s="2"/>
      <x:c r="Q101" s="2"/>
    </x:row>
    <x:row r="102" ht="22" customHeight="1">
      <x:c r="A102" s="2"/>
      <x:c r="B102" s="2"/>
      <x:c r="C102" s="2"/>
      <x:c r="D102" s="3"/>
      <x:c r="E102" s="3"/>
      <x:c r="F102" s="3"/>
      <x:c r="G102" s="3"/>
      <x:c r="H102" s="3"/>
      <x:c r="I102" s="3"/>
      <x:c r="J102" s="2"/>
      <x:c r="K102" s="2"/>
      <x:c r="L102" s="2"/>
      <x:c r="M102" s="2"/>
      <x:c r="N102" s="2"/>
      <x:c r="O102" s="2"/>
      <x:c r="P102" s="2"/>
      <x:c r="Q102" s="2"/>
    </x:row>
    <x:row r="103" ht="22" customHeight="1">
      <x:c r="A103" s="2"/>
      <x:c r="B103" s="2"/>
      <x:c r="C103" s="2"/>
      <x:c r="D103" s="3"/>
      <x:c r="E103" s="3"/>
      <x:c r="F103" s="3"/>
      <x:c r="G103" s="3"/>
      <x:c r="H103" s="3"/>
      <x:c r="I103" s="3"/>
      <x:c r="J103" s="2"/>
      <x:c r="K103" s="2"/>
      <x:c r="L103" s="2"/>
      <x:c r="M103" s="2"/>
      <x:c r="N103" s="2"/>
      <x:c r="O103" s="2"/>
      <x:c r="P103" s="2"/>
      <x:c r="Q103" s="2"/>
    </x:row>
    <x:row r="104" ht="22" customHeight="1">
      <x:c r="A104" s="2"/>
      <x:c r="B104" s="2"/>
      <x:c r="C104" s="2"/>
      <x:c r="D104" s="3"/>
      <x:c r="E104" s="3"/>
      <x:c r="F104" s="3"/>
      <x:c r="G104" s="3"/>
      <x:c r="H104" s="3"/>
      <x:c r="I104" s="3"/>
      <x:c r="J104" s="2"/>
      <x:c r="K104" s="2"/>
      <x:c r="L104" s="2"/>
      <x:c r="M104" s="2"/>
      <x:c r="N104" s="2"/>
      <x:c r="O104" s="2"/>
      <x:c r="P104" s="2"/>
      <x:c r="Q104" s="2"/>
    </x:row>
    <x:row r="105" ht="22" customHeight="1">
      <x:c r="A105" s="2"/>
      <x:c r="B105" s="2"/>
      <x:c r="C105" s="2"/>
      <x:c r="D105" s="3"/>
      <x:c r="E105" s="3"/>
      <x:c r="F105" s="3"/>
      <x:c r="G105" s="3"/>
      <x:c r="H105" s="3"/>
      <x:c r="I105" s="3"/>
      <x:c r="J105" s="2"/>
      <x:c r="K105" s="2"/>
      <x:c r="L105" s="2"/>
      <x:c r="M105" s="2"/>
      <x:c r="N105" s="2"/>
      <x:c r="O105" s="2"/>
      <x:c r="P105" s="2"/>
      <x:c r="Q105" s="2"/>
    </x:row>
    <x:row r="106" ht="22" customHeight="1">
      <x:c r="A106" s="2"/>
      <x:c r="B106" s="2"/>
      <x:c r="C106" s="2"/>
      <x:c r="D106" s="3"/>
      <x:c r="E106" s="3"/>
      <x:c r="F106" s="3"/>
      <x:c r="G106" s="3"/>
      <x:c r="H106" s="3"/>
      <x:c r="I106" s="3"/>
      <x:c r="J106" s="2"/>
      <x:c r="K106" s="2"/>
      <x:c r="L106" s="2"/>
      <x:c r="M106" s="2"/>
      <x:c r="N106" s="2"/>
      <x:c r="O106" s="2"/>
      <x:c r="P106" s="2"/>
      <x:c r="Q106" s="2"/>
    </x:row>
    <x:row r="107" ht="22" customHeight="1">
      <x:c r="A107" s="2"/>
      <x:c r="B107" s="2"/>
      <x:c r="C107" s="2"/>
      <x:c r="D107" s="3"/>
      <x:c r="E107" s="3"/>
      <x:c r="F107" s="3"/>
      <x:c r="G107" s="3"/>
      <x:c r="H107" s="3"/>
      <x:c r="I107" s="3"/>
      <x:c r="J107" s="2"/>
      <x:c r="K107" s="2"/>
      <x:c r="L107" s="2"/>
      <x:c r="M107" s="2"/>
      <x:c r="N107" s="2"/>
      <x:c r="O107" s="2"/>
      <x:c r="P107" s="2"/>
      <x:c r="Q107" s="2"/>
    </x:row>
    <x:row r="108" ht="22" customHeight="1">
      <x:c r="A108" s="2"/>
      <x:c r="B108" s="2"/>
      <x:c r="C108" s="2"/>
      <x:c r="D108" s="3"/>
      <x:c r="E108" s="3"/>
      <x:c r="F108" s="3"/>
      <x:c r="G108" s="3"/>
      <x:c r="H108" s="3"/>
      <x:c r="I108" s="3"/>
      <x:c r="J108" s="2"/>
      <x:c r="K108" s="2"/>
      <x:c r="L108" s="2"/>
      <x:c r="M108" s="2"/>
      <x:c r="N108" s="2"/>
      <x:c r="O108" s="2"/>
      <x:c r="P108" s="2"/>
      <x:c r="Q108" s="2"/>
    </x:row>
    <x:row r="109" ht="22" customHeight="1">
      <x:c r="A109" s="2"/>
      <x:c r="B109" s="2"/>
      <x:c r="C109" s="2"/>
      <x:c r="D109" s="3"/>
      <x:c r="E109" s="3"/>
      <x:c r="F109" s="3"/>
      <x:c r="G109" s="3"/>
      <x:c r="H109" s="3"/>
      <x:c r="I109" s="3"/>
      <x:c r="J109" s="2"/>
      <x:c r="K109" s="2"/>
      <x:c r="L109" s="2"/>
      <x:c r="M109" s="2"/>
      <x:c r="N109" s="2"/>
      <x:c r="O109" s="2"/>
      <x:c r="P109" s="2"/>
      <x:c r="Q109" s="2"/>
    </x:row>
    <x:row r="110" ht="22" customHeight="1">
      <x:c r="A110" s="2"/>
      <x:c r="B110" s="2"/>
      <x:c r="C110" s="2"/>
      <x:c r="D110" s="3"/>
      <x:c r="E110" s="3"/>
      <x:c r="F110" s="3"/>
      <x:c r="G110" s="3"/>
      <x:c r="H110" s="3"/>
      <x:c r="I110" s="3"/>
      <x:c r="J110" s="2"/>
      <x:c r="K110" s="2"/>
      <x:c r="L110" s="2"/>
      <x:c r="M110" s="2"/>
      <x:c r="N110" s="2"/>
      <x:c r="O110" s="2"/>
      <x:c r="P110" s="2"/>
      <x:c r="Q110" s="2"/>
    </x:row>
    <x:row r="111" ht="22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 ht="22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 ht="22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 ht="22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 ht="22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 ht="22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 ht="22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 ht="22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 ht="22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 ht="22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</x:sheetData>
  <x:conditionalFormatting sqref="D7:H16">
    <x:cfRule type="cellIs" dxfId="0" priority="1" operator="notBetween">
      <x:formula>-0.01</x:formula>
      <x:formula>0.01</x:formula>
    </x:cfRule>
  </x:conditionalFormatting>
  <x:pageMargins left="0.7" right="0.7" top="0.75" bottom="0.75" header="0.3" footer="0.3"/>
</x:worksheet>
</file>